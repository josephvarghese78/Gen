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ghjo/Downloads/"/>
    </mc:Choice>
  </mc:AlternateContent>
  <xr:revisionPtr revIDLastSave="0" documentId="8_{91C306DE-4230-F942-B168-BA572B1E9778}" xr6:coauthVersionLast="47" xr6:coauthVersionMax="47" xr10:uidLastSave="{00000000-0000-0000-0000-000000000000}"/>
  <bookViews>
    <workbookView xWindow="42540" yWindow="4480" windowWidth="38400" windowHeight="19200" xr2:uid="{B82E5CAA-D890-4ECC-92C5-52D79F6A69F9}"/>
  </bookViews>
  <sheets>
    <sheet name="Metr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1" l="1"/>
  <c r="J42" i="1"/>
  <c r="R41" i="1"/>
  <c r="J41" i="1"/>
  <c r="R40" i="1"/>
  <c r="J40" i="1"/>
  <c r="R39" i="1"/>
  <c r="J39" i="1"/>
  <c r="R38" i="1"/>
  <c r="J38" i="1"/>
  <c r="R31" i="1"/>
  <c r="J31" i="1"/>
  <c r="R30" i="1"/>
  <c r="J30" i="1"/>
  <c r="R29" i="1"/>
  <c r="J29" i="1"/>
  <c r="R28" i="1"/>
  <c r="J28" i="1"/>
  <c r="R27" i="1"/>
  <c r="J27" i="1"/>
  <c r="R26" i="1"/>
  <c r="J26" i="1"/>
  <c r="R25" i="1"/>
  <c r="J25" i="1"/>
  <c r="R24" i="1"/>
  <c r="J24" i="1"/>
  <c r="R23" i="1"/>
  <c r="J23" i="1"/>
  <c r="R22" i="1"/>
  <c r="J22" i="1"/>
  <c r="R21" i="1"/>
  <c r="J21" i="1"/>
  <c r="R20" i="1"/>
  <c r="J20" i="1"/>
  <c r="R19" i="1"/>
  <c r="J19" i="1"/>
  <c r="R18" i="1"/>
  <c r="J18" i="1"/>
  <c r="R17" i="1"/>
  <c r="J17" i="1"/>
  <c r="R16" i="1"/>
  <c r="J16" i="1"/>
  <c r="R15" i="1"/>
  <c r="J15" i="1"/>
  <c r="R14" i="1"/>
  <c r="J14" i="1"/>
  <c r="R13" i="1"/>
  <c r="J13" i="1"/>
  <c r="R12" i="1"/>
  <c r="J12" i="1"/>
  <c r="R11" i="1"/>
  <c r="J11" i="1"/>
  <c r="R10" i="1"/>
  <c r="J10" i="1"/>
  <c r="R9" i="1"/>
  <c r="J9" i="1"/>
  <c r="R8" i="1"/>
  <c r="J8" i="1"/>
  <c r="R7" i="1"/>
  <c r="J7" i="1"/>
  <c r="R6" i="1"/>
  <c r="J6" i="1"/>
  <c r="R5" i="1"/>
  <c r="J5" i="1"/>
  <c r="R4" i="1"/>
  <c r="J4" i="1"/>
</calcChain>
</file>

<file path=xl/sharedStrings.xml><?xml version="1.0" encoding="utf-8"?>
<sst xmlns="http://schemas.openxmlformats.org/spreadsheetml/2006/main" count="59" uniqueCount="23">
  <si>
    <t>Year</t>
  </si>
  <si>
    <t>Month</t>
  </si>
  <si>
    <t>ASEDL(At Scale)</t>
  </si>
  <si>
    <t>COL</t>
  </si>
  <si>
    <t>EDL</t>
  </si>
  <si>
    <t>PBIDATA</t>
  </si>
  <si>
    <t>PBIUI</t>
  </si>
  <si>
    <t>PIPELINE</t>
  </si>
  <si>
    <t>UI</t>
  </si>
  <si>
    <t>Test Case Count</t>
  </si>
  <si>
    <t xml:space="preserve">Defect count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</si>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</sst>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1" fillId="0" borderId="9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074D-F148-4F3D-94C6-59634B3A0084}">
  <dimension ref="A1:R42"/>
  <sheetViews>
    <sheetView tabSelected="1" zoomScale="84" zoomScaleNormal="70" workbookViewId="0">
      <selection activeCell="B39" sqref="B39:J39"/>
    </sheetView>
  </sheetViews>
  <sheetFormatPr baseColWidth="10" defaultColWidth="8.83203125" defaultRowHeight="15" x14ac:dyDescent="0.2"/>
  <cols>
    <col min="2" max="2" width="11" bestFit="1" customWidth="1"/>
  </cols>
  <sheetData>
    <row r="1" spans="1:1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2</v>
      </c>
      <c r="L1" s="2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2" t="s">
        <v>8</v>
      </c>
      <c r="R1" s="1" t="s">
        <v>10</v>
      </c>
    </row>
    <row r="2" spans="1:18" x14ac:dyDescent="0.2">
      <c r="A2" s="24">
        <v>2023</v>
      </c>
      <c r="B2" s="3" t="s">
        <v>11</v>
      </c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</row>
    <row r="3" spans="1:18" x14ac:dyDescent="0.2">
      <c r="A3" s="25"/>
      <c r="B3" s="3" t="s">
        <v>12</v>
      </c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</row>
    <row r="4" spans="1:18" x14ac:dyDescent="0.2">
      <c r="A4" s="25"/>
      <c r="B4" s="3" t="s">
        <v>13</v>
      </c>
      <c r="C4" s="4">
        <v>0</v>
      </c>
      <c r="D4" s="4">
        <v>11</v>
      </c>
      <c r="E4" s="4">
        <v>898</v>
      </c>
      <c r="F4" s="4">
        <v>73</v>
      </c>
      <c r="G4" s="4">
        <v>274</v>
      </c>
      <c r="H4" s="4">
        <v>19</v>
      </c>
      <c r="I4" s="4">
        <v>0</v>
      </c>
      <c r="J4" s="6">
        <f>SUM(C4:I4)</f>
        <v>1275</v>
      </c>
      <c r="K4" s="5">
        <v>0</v>
      </c>
      <c r="L4" s="5">
        <v>0</v>
      </c>
      <c r="M4" s="5">
        <v>104</v>
      </c>
      <c r="N4" s="5">
        <v>5</v>
      </c>
      <c r="O4" s="5">
        <v>88</v>
      </c>
      <c r="P4" s="5">
        <v>0</v>
      </c>
      <c r="Q4" s="5">
        <v>0</v>
      </c>
      <c r="R4" s="7">
        <f>SUM(K4:Q4)</f>
        <v>197</v>
      </c>
    </row>
    <row r="5" spans="1:18" x14ac:dyDescent="0.2">
      <c r="A5" s="25"/>
      <c r="B5" s="3" t="s">
        <v>14</v>
      </c>
      <c r="C5" s="4">
        <v>0</v>
      </c>
      <c r="D5" s="4">
        <v>18</v>
      </c>
      <c r="E5" s="4">
        <v>503</v>
      </c>
      <c r="F5" s="4">
        <v>0</v>
      </c>
      <c r="G5" s="4">
        <v>202</v>
      </c>
      <c r="H5" s="4">
        <v>6</v>
      </c>
      <c r="I5" s="4">
        <v>0</v>
      </c>
      <c r="J5" s="6">
        <f t="shared" ref="J5:J8" si="0">SUM(C5:I5)</f>
        <v>729</v>
      </c>
      <c r="K5" s="5">
        <v>0</v>
      </c>
      <c r="L5" s="5">
        <v>0</v>
      </c>
      <c r="M5" s="5">
        <v>20</v>
      </c>
      <c r="N5" s="5">
        <v>0</v>
      </c>
      <c r="O5" s="5">
        <v>34</v>
      </c>
      <c r="P5" s="5">
        <v>0</v>
      </c>
      <c r="Q5" s="5">
        <v>0</v>
      </c>
      <c r="R5" s="7">
        <f t="shared" ref="R5:R8" si="1">SUM(K5:Q5)</f>
        <v>54</v>
      </c>
    </row>
    <row r="6" spans="1:18" x14ac:dyDescent="0.2">
      <c r="A6" s="25"/>
      <c r="B6" s="3" t="s">
        <v>15</v>
      </c>
      <c r="C6" s="4">
        <v>0</v>
      </c>
      <c r="D6" s="4">
        <v>38</v>
      </c>
      <c r="E6" s="4">
        <v>1215</v>
      </c>
      <c r="F6" s="4">
        <v>35</v>
      </c>
      <c r="G6" s="4">
        <v>111</v>
      </c>
      <c r="H6" s="4">
        <v>11</v>
      </c>
      <c r="I6" s="4">
        <v>0</v>
      </c>
      <c r="J6" s="6">
        <f t="shared" si="0"/>
        <v>1410</v>
      </c>
      <c r="K6" s="5">
        <v>0</v>
      </c>
      <c r="L6" s="5">
        <v>0</v>
      </c>
      <c r="M6" s="5">
        <v>3</v>
      </c>
      <c r="N6" s="5">
        <v>0</v>
      </c>
      <c r="O6" s="5">
        <v>0</v>
      </c>
      <c r="P6" s="5">
        <v>0</v>
      </c>
      <c r="Q6" s="5">
        <v>0</v>
      </c>
      <c r="R6" s="7">
        <f t="shared" si="1"/>
        <v>3</v>
      </c>
    </row>
    <row r="7" spans="1:18" x14ac:dyDescent="0.2">
      <c r="A7" s="25"/>
      <c r="B7" s="3" t="s">
        <v>16</v>
      </c>
      <c r="C7" s="4">
        <v>0</v>
      </c>
      <c r="D7" s="4">
        <v>4</v>
      </c>
      <c r="E7" s="4">
        <v>1650</v>
      </c>
      <c r="F7" s="4">
        <v>271</v>
      </c>
      <c r="G7" s="4">
        <v>75</v>
      </c>
      <c r="H7" s="4">
        <v>1</v>
      </c>
      <c r="I7" s="4">
        <v>0</v>
      </c>
      <c r="J7" s="6">
        <f t="shared" si="0"/>
        <v>2001</v>
      </c>
      <c r="K7" s="5">
        <v>0</v>
      </c>
      <c r="L7" s="5">
        <v>0</v>
      </c>
      <c r="M7" s="5">
        <v>13</v>
      </c>
      <c r="N7" s="5">
        <v>19</v>
      </c>
      <c r="O7" s="5">
        <v>12</v>
      </c>
      <c r="P7" s="5">
        <v>0</v>
      </c>
      <c r="Q7" s="5">
        <v>0</v>
      </c>
      <c r="R7" s="7">
        <f t="shared" si="1"/>
        <v>44</v>
      </c>
    </row>
    <row r="8" spans="1:18" x14ac:dyDescent="0.2">
      <c r="A8" s="25"/>
      <c r="B8" s="3" t="s">
        <v>17</v>
      </c>
      <c r="C8" s="4">
        <v>0</v>
      </c>
      <c r="D8" s="4">
        <v>0</v>
      </c>
      <c r="E8" s="4">
        <v>2166</v>
      </c>
      <c r="F8" s="4">
        <v>512</v>
      </c>
      <c r="G8" s="4">
        <v>30</v>
      </c>
      <c r="H8" s="4">
        <v>42</v>
      </c>
      <c r="I8" s="4">
        <v>0</v>
      </c>
      <c r="J8" s="6">
        <f t="shared" si="0"/>
        <v>2750</v>
      </c>
      <c r="K8" s="5">
        <v>0</v>
      </c>
      <c r="L8" s="5">
        <v>0</v>
      </c>
      <c r="M8" s="5">
        <v>151</v>
      </c>
      <c r="N8" s="5">
        <v>52</v>
      </c>
      <c r="O8" s="5">
        <v>14</v>
      </c>
      <c r="P8" s="5">
        <v>0</v>
      </c>
      <c r="Q8" s="5">
        <v>0</v>
      </c>
      <c r="R8" s="7">
        <f t="shared" si="1"/>
        <v>217</v>
      </c>
    </row>
    <row r="9" spans="1:18" x14ac:dyDescent="0.2">
      <c r="A9" s="25"/>
      <c r="B9" s="3" t="s">
        <v>18</v>
      </c>
      <c r="C9" s="4">
        <v>0</v>
      </c>
      <c r="D9" s="4">
        <v>0</v>
      </c>
      <c r="E9" s="4">
        <v>578</v>
      </c>
      <c r="F9" s="4">
        <v>853</v>
      </c>
      <c r="G9" s="4">
        <v>152</v>
      </c>
      <c r="H9" s="4">
        <v>18</v>
      </c>
      <c r="I9" s="4">
        <v>0</v>
      </c>
      <c r="J9" s="6">
        <f>SUM(C9:I9)</f>
        <v>1601</v>
      </c>
      <c r="K9" s="5">
        <v>0</v>
      </c>
      <c r="L9" s="5">
        <v>0</v>
      </c>
      <c r="M9" s="5">
        <v>87</v>
      </c>
      <c r="N9" s="5">
        <v>39</v>
      </c>
      <c r="O9" s="5">
        <v>11</v>
      </c>
      <c r="P9" s="5">
        <v>23</v>
      </c>
      <c r="Q9" s="5">
        <v>0</v>
      </c>
      <c r="R9" s="7">
        <f>SUM(K9:Q9)</f>
        <v>160</v>
      </c>
    </row>
    <row r="10" spans="1:18" x14ac:dyDescent="0.2">
      <c r="A10" s="25"/>
      <c r="B10" s="3" t="s">
        <v>19</v>
      </c>
      <c r="C10" s="4">
        <v>0</v>
      </c>
      <c r="D10" s="4">
        <v>0</v>
      </c>
      <c r="E10" s="4">
        <v>429</v>
      </c>
      <c r="F10" s="4">
        <v>802</v>
      </c>
      <c r="G10" s="4">
        <v>262</v>
      </c>
      <c r="H10" s="4">
        <v>5</v>
      </c>
      <c r="I10" s="4">
        <v>0</v>
      </c>
      <c r="J10" s="6">
        <f t="shared" ref="J10:J30" si="2">SUM(C10:I10)</f>
        <v>1498</v>
      </c>
      <c r="K10" s="5">
        <v>0</v>
      </c>
      <c r="L10" s="5">
        <v>0</v>
      </c>
      <c r="M10" s="5">
        <v>60</v>
      </c>
      <c r="N10" s="5">
        <v>36</v>
      </c>
      <c r="O10" s="5">
        <v>66</v>
      </c>
      <c r="P10" s="5">
        <v>13</v>
      </c>
      <c r="Q10" s="5">
        <v>0</v>
      </c>
      <c r="R10" s="7">
        <f t="shared" ref="R10:R30" si="3">SUM(K10:Q10)</f>
        <v>175</v>
      </c>
    </row>
    <row r="11" spans="1:18" x14ac:dyDescent="0.2">
      <c r="A11" s="25"/>
      <c r="B11" s="3" t="s">
        <v>20</v>
      </c>
      <c r="C11" s="4">
        <v>0</v>
      </c>
      <c r="D11" s="4">
        <v>0</v>
      </c>
      <c r="E11" s="4">
        <v>2592</v>
      </c>
      <c r="F11" s="4">
        <v>25</v>
      </c>
      <c r="G11" s="4">
        <v>124</v>
      </c>
      <c r="H11" s="4">
        <v>12</v>
      </c>
      <c r="I11" s="4">
        <v>0</v>
      </c>
      <c r="J11" s="6">
        <f t="shared" si="2"/>
        <v>2753</v>
      </c>
      <c r="K11" s="5">
        <v>0</v>
      </c>
      <c r="L11" s="5">
        <v>0</v>
      </c>
      <c r="M11" s="5">
        <v>69</v>
      </c>
      <c r="N11" s="5">
        <v>16</v>
      </c>
      <c r="O11" s="5">
        <v>19</v>
      </c>
      <c r="P11" s="5">
        <v>5</v>
      </c>
      <c r="Q11" s="5">
        <v>0</v>
      </c>
      <c r="R11" s="7">
        <f t="shared" si="3"/>
        <v>109</v>
      </c>
    </row>
    <row r="12" spans="1:18" x14ac:dyDescent="0.2">
      <c r="A12" s="25"/>
      <c r="B12" s="3" t="s">
        <v>21</v>
      </c>
      <c r="C12" s="4">
        <v>0</v>
      </c>
      <c r="D12" s="4">
        <v>0</v>
      </c>
      <c r="E12" s="4">
        <v>2636</v>
      </c>
      <c r="F12" s="4">
        <v>134</v>
      </c>
      <c r="G12" s="4">
        <v>42</v>
      </c>
      <c r="H12" s="4">
        <v>39</v>
      </c>
      <c r="I12" s="4">
        <v>0</v>
      </c>
      <c r="J12" s="6">
        <f t="shared" si="2"/>
        <v>2851</v>
      </c>
      <c r="K12" s="5">
        <v>0</v>
      </c>
      <c r="L12" s="5">
        <v>0</v>
      </c>
      <c r="M12" s="5">
        <v>42</v>
      </c>
      <c r="N12" s="5">
        <v>23</v>
      </c>
      <c r="O12" s="5">
        <v>12</v>
      </c>
      <c r="P12" s="5">
        <v>2</v>
      </c>
      <c r="Q12" s="5">
        <v>0</v>
      </c>
      <c r="R12" s="7">
        <f t="shared" si="3"/>
        <v>79</v>
      </c>
    </row>
    <row r="13" spans="1:18" x14ac:dyDescent="0.2">
      <c r="A13" s="26"/>
      <c r="B13" s="3" t="s">
        <v>22</v>
      </c>
      <c r="C13" s="4">
        <v>0</v>
      </c>
      <c r="D13" s="4">
        <v>0</v>
      </c>
      <c r="E13" s="4">
        <v>556</v>
      </c>
      <c r="F13" s="4">
        <v>249</v>
      </c>
      <c r="G13" s="4">
        <v>22</v>
      </c>
      <c r="H13" s="4">
        <v>0</v>
      </c>
      <c r="I13" s="4">
        <v>0</v>
      </c>
      <c r="J13" s="6">
        <f t="shared" si="2"/>
        <v>827</v>
      </c>
      <c r="K13" s="5">
        <v>0</v>
      </c>
      <c r="L13" s="5">
        <v>0</v>
      </c>
      <c r="M13" s="5">
        <v>48</v>
      </c>
      <c r="N13" s="5">
        <v>24</v>
      </c>
      <c r="O13" s="5">
        <v>14</v>
      </c>
      <c r="P13" s="5">
        <v>0</v>
      </c>
      <c r="Q13" s="5">
        <v>0</v>
      </c>
      <c r="R13" s="7">
        <f t="shared" si="3"/>
        <v>86</v>
      </c>
    </row>
    <row r="14" spans="1:18" x14ac:dyDescent="0.2">
      <c r="A14" s="27">
        <v>2024</v>
      </c>
      <c r="B14" s="3" t="s">
        <v>11</v>
      </c>
      <c r="C14" s="4">
        <v>0</v>
      </c>
      <c r="D14" s="4">
        <v>11</v>
      </c>
      <c r="E14" s="4">
        <v>198</v>
      </c>
      <c r="F14" s="4">
        <v>6</v>
      </c>
      <c r="G14" s="4">
        <v>23</v>
      </c>
      <c r="H14" s="4">
        <v>0</v>
      </c>
      <c r="I14" s="4">
        <v>0</v>
      </c>
      <c r="J14" s="6">
        <f t="shared" si="2"/>
        <v>238</v>
      </c>
      <c r="K14" s="5">
        <v>0</v>
      </c>
      <c r="L14" s="5">
        <v>0</v>
      </c>
      <c r="M14" s="5">
        <v>39</v>
      </c>
      <c r="N14" s="5">
        <v>15</v>
      </c>
      <c r="O14" s="5">
        <v>23</v>
      </c>
      <c r="P14" s="5">
        <v>0</v>
      </c>
      <c r="Q14" s="5">
        <v>0</v>
      </c>
      <c r="R14" s="7">
        <f t="shared" si="3"/>
        <v>77</v>
      </c>
    </row>
    <row r="15" spans="1:18" x14ac:dyDescent="0.2">
      <c r="A15" s="27"/>
      <c r="B15" s="3" t="s">
        <v>12</v>
      </c>
      <c r="C15" s="4">
        <v>0</v>
      </c>
      <c r="D15" s="4">
        <v>0</v>
      </c>
      <c r="E15" s="4">
        <v>243</v>
      </c>
      <c r="F15" s="4">
        <v>114</v>
      </c>
      <c r="G15" s="4">
        <v>159</v>
      </c>
      <c r="H15" s="4">
        <v>13</v>
      </c>
      <c r="I15" s="4">
        <v>0</v>
      </c>
      <c r="J15" s="6">
        <f t="shared" si="2"/>
        <v>529</v>
      </c>
      <c r="K15" s="5">
        <v>0</v>
      </c>
      <c r="L15" s="5">
        <v>0</v>
      </c>
      <c r="M15" s="5">
        <v>52</v>
      </c>
      <c r="N15" s="5">
        <v>12</v>
      </c>
      <c r="O15" s="5">
        <v>6</v>
      </c>
      <c r="P15" s="5">
        <v>1</v>
      </c>
      <c r="Q15" s="5">
        <v>0</v>
      </c>
      <c r="R15" s="7">
        <f t="shared" si="3"/>
        <v>71</v>
      </c>
    </row>
    <row r="16" spans="1:18" x14ac:dyDescent="0.2">
      <c r="A16" s="27"/>
      <c r="B16" s="3" t="s">
        <v>13</v>
      </c>
      <c r="C16" s="4">
        <v>0</v>
      </c>
      <c r="D16" s="4">
        <v>11</v>
      </c>
      <c r="E16" s="4">
        <v>234</v>
      </c>
      <c r="F16" s="4">
        <v>40</v>
      </c>
      <c r="G16" s="4">
        <v>30</v>
      </c>
      <c r="H16" s="4">
        <v>11</v>
      </c>
      <c r="I16" s="4">
        <v>0</v>
      </c>
      <c r="J16" s="6">
        <f t="shared" si="2"/>
        <v>326</v>
      </c>
      <c r="K16" s="5">
        <v>0</v>
      </c>
      <c r="L16" s="5">
        <v>0</v>
      </c>
      <c r="M16" s="5">
        <v>43</v>
      </c>
      <c r="N16" s="5">
        <v>64</v>
      </c>
      <c r="O16" s="5">
        <v>29</v>
      </c>
      <c r="P16" s="5">
        <v>0</v>
      </c>
      <c r="Q16" s="5">
        <v>0</v>
      </c>
      <c r="R16" s="7">
        <f t="shared" si="3"/>
        <v>136</v>
      </c>
    </row>
    <row r="17" spans="1:18" x14ac:dyDescent="0.2">
      <c r="A17" s="27"/>
      <c r="B17" s="3" t="s">
        <v>14</v>
      </c>
      <c r="C17" s="4">
        <v>0</v>
      </c>
      <c r="D17" s="4">
        <v>19</v>
      </c>
      <c r="E17" s="4">
        <v>672</v>
      </c>
      <c r="F17" s="4">
        <v>66</v>
      </c>
      <c r="G17" s="4">
        <v>31</v>
      </c>
      <c r="H17" s="4">
        <v>0</v>
      </c>
      <c r="I17" s="4">
        <v>0</v>
      </c>
      <c r="J17" s="6">
        <f t="shared" si="2"/>
        <v>788</v>
      </c>
      <c r="K17" s="5">
        <v>10</v>
      </c>
      <c r="L17" s="5">
        <v>7</v>
      </c>
      <c r="M17" s="5">
        <v>1240</v>
      </c>
      <c r="N17" s="5">
        <v>401</v>
      </c>
      <c r="O17" s="5">
        <v>447</v>
      </c>
      <c r="P17" s="5">
        <v>44</v>
      </c>
      <c r="Q17" s="5">
        <v>0</v>
      </c>
      <c r="R17" s="7">
        <f t="shared" si="3"/>
        <v>2149</v>
      </c>
    </row>
    <row r="18" spans="1:18" x14ac:dyDescent="0.2">
      <c r="A18" s="27"/>
      <c r="B18" s="3" t="s">
        <v>15</v>
      </c>
      <c r="C18" s="4">
        <v>0</v>
      </c>
      <c r="D18" s="4">
        <v>18</v>
      </c>
      <c r="E18" s="4">
        <v>1200</v>
      </c>
      <c r="F18" s="4">
        <v>30</v>
      </c>
      <c r="G18" s="4">
        <v>8</v>
      </c>
      <c r="H18" s="4">
        <v>5</v>
      </c>
      <c r="I18" s="4">
        <v>0</v>
      </c>
      <c r="J18" s="6">
        <f t="shared" si="2"/>
        <v>1261</v>
      </c>
      <c r="K18" s="5">
        <v>0</v>
      </c>
      <c r="L18" s="5">
        <v>0</v>
      </c>
      <c r="M18" s="5">
        <v>37</v>
      </c>
      <c r="N18" s="5">
        <v>28</v>
      </c>
      <c r="O18" s="5">
        <v>13</v>
      </c>
      <c r="P18" s="5">
        <v>2</v>
      </c>
      <c r="Q18" s="5">
        <v>0</v>
      </c>
      <c r="R18" s="7">
        <f t="shared" si="3"/>
        <v>80</v>
      </c>
    </row>
    <row r="19" spans="1:18" x14ac:dyDescent="0.2">
      <c r="A19" s="27"/>
      <c r="B19" s="3" t="s">
        <v>16</v>
      </c>
      <c r="C19" s="4">
        <v>0</v>
      </c>
      <c r="D19" s="4">
        <v>12</v>
      </c>
      <c r="E19" s="4">
        <v>944</v>
      </c>
      <c r="F19" s="4">
        <v>565</v>
      </c>
      <c r="G19" s="4">
        <v>206</v>
      </c>
      <c r="H19" s="4">
        <v>1</v>
      </c>
      <c r="I19" s="4">
        <v>0</v>
      </c>
      <c r="J19" s="6">
        <f t="shared" si="2"/>
        <v>1728</v>
      </c>
      <c r="K19" s="5">
        <v>0</v>
      </c>
      <c r="L19" s="5">
        <v>0</v>
      </c>
      <c r="M19" s="5">
        <v>24</v>
      </c>
      <c r="N19" s="5">
        <v>14</v>
      </c>
      <c r="O19" s="5">
        <v>15</v>
      </c>
      <c r="P19" s="5">
        <v>0</v>
      </c>
      <c r="Q19" s="5">
        <v>0</v>
      </c>
      <c r="R19" s="7">
        <f t="shared" si="3"/>
        <v>53</v>
      </c>
    </row>
    <row r="20" spans="1:18" x14ac:dyDescent="0.2">
      <c r="A20" s="27"/>
      <c r="B20" s="3" t="s">
        <v>17</v>
      </c>
      <c r="C20" s="4">
        <v>0</v>
      </c>
      <c r="D20" s="8">
        <v>6</v>
      </c>
      <c r="E20" s="8">
        <v>767</v>
      </c>
      <c r="F20" s="8">
        <v>86</v>
      </c>
      <c r="G20" s="8">
        <v>138</v>
      </c>
      <c r="H20" s="8">
        <v>34</v>
      </c>
      <c r="I20" s="4">
        <v>0</v>
      </c>
      <c r="J20" s="6">
        <f t="shared" si="2"/>
        <v>1031</v>
      </c>
      <c r="K20" s="5">
        <v>0</v>
      </c>
      <c r="L20" s="5">
        <v>0</v>
      </c>
      <c r="M20" s="5">
        <v>21</v>
      </c>
      <c r="N20" s="5">
        <v>19</v>
      </c>
      <c r="O20" s="5">
        <v>34</v>
      </c>
      <c r="P20" s="5">
        <v>8</v>
      </c>
      <c r="Q20" s="5">
        <v>0</v>
      </c>
      <c r="R20" s="7">
        <f t="shared" si="3"/>
        <v>82</v>
      </c>
    </row>
    <row r="21" spans="1:18" x14ac:dyDescent="0.2">
      <c r="A21" s="27"/>
      <c r="B21" s="3" t="s">
        <v>18</v>
      </c>
      <c r="C21" s="4">
        <v>0</v>
      </c>
      <c r="D21" s="8">
        <v>7</v>
      </c>
      <c r="E21" s="8">
        <v>1517</v>
      </c>
      <c r="F21" s="8">
        <v>560</v>
      </c>
      <c r="G21" s="8">
        <v>175</v>
      </c>
      <c r="H21" s="8">
        <v>3</v>
      </c>
      <c r="I21" s="4">
        <v>0</v>
      </c>
      <c r="J21" s="6">
        <f t="shared" si="2"/>
        <v>2262</v>
      </c>
      <c r="K21" s="5">
        <v>0</v>
      </c>
      <c r="L21" s="5">
        <v>0</v>
      </c>
      <c r="M21" s="5">
        <v>51</v>
      </c>
      <c r="N21" s="5">
        <v>14</v>
      </c>
      <c r="O21" s="5">
        <v>6</v>
      </c>
      <c r="P21" s="5">
        <v>0</v>
      </c>
      <c r="Q21" s="5">
        <v>0</v>
      </c>
      <c r="R21" s="7">
        <f t="shared" si="3"/>
        <v>71</v>
      </c>
    </row>
    <row r="22" spans="1:18" x14ac:dyDescent="0.2">
      <c r="A22" s="27"/>
      <c r="B22" s="3" t="s">
        <v>19</v>
      </c>
      <c r="C22" s="4">
        <v>0</v>
      </c>
      <c r="D22" s="8">
        <v>4</v>
      </c>
      <c r="E22" s="4">
        <v>503</v>
      </c>
      <c r="F22" s="4">
        <v>336</v>
      </c>
      <c r="G22" s="4">
        <v>141</v>
      </c>
      <c r="H22" s="4">
        <v>4</v>
      </c>
      <c r="I22" s="4">
        <v>0</v>
      </c>
      <c r="J22" s="6">
        <f t="shared" si="2"/>
        <v>988</v>
      </c>
      <c r="K22" s="5">
        <v>0</v>
      </c>
      <c r="L22" s="5">
        <v>0</v>
      </c>
      <c r="M22" s="5">
        <v>62</v>
      </c>
      <c r="N22" s="5">
        <v>3</v>
      </c>
      <c r="O22" s="5">
        <v>15</v>
      </c>
      <c r="P22" s="5">
        <v>3</v>
      </c>
      <c r="Q22" s="5">
        <v>0</v>
      </c>
      <c r="R22" s="7">
        <f t="shared" si="3"/>
        <v>83</v>
      </c>
    </row>
    <row r="23" spans="1:18" x14ac:dyDescent="0.2">
      <c r="A23" s="27"/>
      <c r="B23" s="3" t="s">
        <v>20</v>
      </c>
      <c r="C23" s="4">
        <v>0</v>
      </c>
      <c r="D23" s="8">
        <v>5</v>
      </c>
      <c r="E23" s="8">
        <v>2331</v>
      </c>
      <c r="F23" s="8">
        <v>238</v>
      </c>
      <c r="G23" s="8">
        <v>256</v>
      </c>
      <c r="H23" s="8">
        <v>2</v>
      </c>
      <c r="I23" s="4">
        <v>0</v>
      </c>
      <c r="J23" s="6">
        <f t="shared" si="2"/>
        <v>2832</v>
      </c>
      <c r="K23" s="5">
        <v>0</v>
      </c>
      <c r="L23" s="5">
        <v>0</v>
      </c>
      <c r="M23" s="5">
        <v>64</v>
      </c>
      <c r="N23" s="5">
        <v>3</v>
      </c>
      <c r="O23" s="5">
        <v>43</v>
      </c>
      <c r="P23" s="5">
        <v>2</v>
      </c>
      <c r="Q23" s="5">
        <v>0</v>
      </c>
      <c r="R23" s="7">
        <f t="shared" si="3"/>
        <v>112</v>
      </c>
    </row>
    <row r="24" spans="1:18" x14ac:dyDescent="0.2">
      <c r="A24" s="27"/>
      <c r="B24" s="3" t="s">
        <v>21</v>
      </c>
      <c r="C24" s="4">
        <v>0</v>
      </c>
      <c r="D24" s="4">
        <v>1</v>
      </c>
      <c r="E24" s="8">
        <v>1608</v>
      </c>
      <c r="F24" s="8">
        <v>211</v>
      </c>
      <c r="G24" s="4">
        <v>412</v>
      </c>
      <c r="H24" s="4">
        <v>6</v>
      </c>
      <c r="I24" s="4">
        <v>0</v>
      </c>
      <c r="J24" s="6">
        <f t="shared" si="2"/>
        <v>2238</v>
      </c>
      <c r="K24" s="5">
        <v>0</v>
      </c>
      <c r="L24" s="5">
        <v>0</v>
      </c>
      <c r="M24" s="5">
        <v>43</v>
      </c>
      <c r="N24" s="5">
        <v>1</v>
      </c>
      <c r="O24" s="5">
        <v>68</v>
      </c>
      <c r="P24" s="5">
        <v>4</v>
      </c>
      <c r="Q24" s="5">
        <v>0</v>
      </c>
      <c r="R24" s="7">
        <f t="shared" si="3"/>
        <v>116</v>
      </c>
    </row>
    <row r="25" spans="1:18" x14ac:dyDescent="0.2">
      <c r="A25" s="24"/>
      <c r="B25" s="3" t="s">
        <v>22</v>
      </c>
      <c r="C25" s="4">
        <v>0</v>
      </c>
      <c r="D25" s="4">
        <v>0</v>
      </c>
      <c r="E25" s="8">
        <v>278</v>
      </c>
      <c r="F25" s="8">
        <v>124</v>
      </c>
      <c r="G25" s="4">
        <v>81</v>
      </c>
      <c r="H25" s="4">
        <v>0</v>
      </c>
      <c r="I25" s="4">
        <v>0</v>
      </c>
      <c r="J25" s="6">
        <f t="shared" si="2"/>
        <v>483</v>
      </c>
      <c r="K25" s="5">
        <v>0</v>
      </c>
      <c r="L25" s="5">
        <v>0</v>
      </c>
      <c r="M25" s="5">
        <v>24</v>
      </c>
      <c r="N25" s="5">
        <v>8</v>
      </c>
      <c r="O25" s="5">
        <v>62</v>
      </c>
      <c r="P25" s="5">
        <v>0</v>
      </c>
      <c r="Q25" s="5">
        <v>0</v>
      </c>
      <c r="R25" s="7">
        <f t="shared" si="3"/>
        <v>94</v>
      </c>
    </row>
    <row r="26" spans="1:18" x14ac:dyDescent="0.2">
      <c r="A26" s="16">
        <v>2025</v>
      </c>
      <c r="B26" s="13" t="s">
        <v>11</v>
      </c>
      <c r="C26" s="4">
        <v>0</v>
      </c>
      <c r="D26" s="4">
        <v>0</v>
      </c>
      <c r="E26" s="8">
        <v>618</v>
      </c>
      <c r="F26" s="8">
        <v>0</v>
      </c>
      <c r="G26" s="4">
        <v>205</v>
      </c>
      <c r="H26" s="4">
        <v>7</v>
      </c>
      <c r="I26" s="4">
        <v>0</v>
      </c>
      <c r="J26" s="6">
        <f t="shared" si="2"/>
        <v>830</v>
      </c>
      <c r="K26" s="5">
        <v>0</v>
      </c>
      <c r="L26" s="5">
        <v>0</v>
      </c>
      <c r="M26" s="5">
        <v>21</v>
      </c>
      <c r="N26" s="5">
        <v>0</v>
      </c>
      <c r="O26" s="5">
        <v>8</v>
      </c>
      <c r="P26" s="5">
        <v>4</v>
      </c>
      <c r="Q26" s="5">
        <v>0</v>
      </c>
      <c r="R26" s="7">
        <f t="shared" si="3"/>
        <v>33</v>
      </c>
    </row>
    <row r="27" spans="1:18" x14ac:dyDescent="0.2">
      <c r="A27" s="16"/>
      <c r="B27" s="13" t="s">
        <v>12</v>
      </c>
      <c r="C27" s="4">
        <v>0</v>
      </c>
      <c r="D27" s="4">
        <v>0</v>
      </c>
      <c r="E27" s="8">
        <v>665</v>
      </c>
      <c r="F27" s="8">
        <v>38</v>
      </c>
      <c r="G27" s="8">
        <v>14</v>
      </c>
      <c r="H27" s="8">
        <v>1</v>
      </c>
      <c r="I27" s="4">
        <v>0</v>
      </c>
      <c r="J27" s="6">
        <f t="shared" si="2"/>
        <v>718</v>
      </c>
      <c r="K27" s="5">
        <v>0</v>
      </c>
      <c r="L27" s="5">
        <v>0</v>
      </c>
      <c r="M27" s="5">
        <v>54</v>
      </c>
      <c r="N27" s="5">
        <v>3</v>
      </c>
      <c r="O27" s="5">
        <v>13</v>
      </c>
      <c r="P27" s="5">
        <v>5</v>
      </c>
      <c r="Q27" s="5">
        <v>0</v>
      </c>
      <c r="R27" s="7">
        <f t="shared" si="3"/>
        <v>75</v>
      </c>
    </row>
    <row r="28" spans="1:18" x14ac:dyDescent="0.2">
      <c r="A28" s="16"/>
      <c r="B28" s="13" t="s">
        <v>13</v>
      </c>
      <c r="C28" s="4">
        <v>0</v>
      </c>
      <c r="D28" s="4">
        <v>0</v>
      </c>
      <c r="E28" s="9">
        <v>491</v>
      </c>
      <c r="F28" s="4">
        <v>0</v>
      </c>
      <c r="G28" s="9">
        <v>12</v>
      </c>
      <c r="H28" s="4">
        <v>0</v>
      </c>
      <c r="I28" s="4">
        <v>0</v>
      </c>
      <c r="J28" s="6">
        <f t="shared" si="2"/>
        <v>503</v>
      </c>
      <c r="K28" s="5">
        <v>0</v>
      </c>
      <c r="L28" s="5">
        <v>0</v>
      </c>
      <c r="M28" s="5">
        <v>26</v>
      </c>
      <c r="N28" s="5">
        <v>0</v>
      </c>
      <c r="O28" s="5">
        <v>7</v>
      </c>
      <c r="P28" s="5">
        <v>0</v>
      </c>
      <c r="Q28" s="5">
        <v>0</v>
      </c>
      <c r="R28" s="7">
        <f t="shared" si="3"/>
        <v>33</v>
      </c>
    </row>
    <row r="29" spans="1:18" x14ac:dyDescent="0.2">
      <c r="A29" s="16"/>
      <c r="B29" s="13" t="s">
        <v>14</v>
      </c>
      <c r="C29" s="4">
        <v>0</v>
      </c>
      <c r="D29" s="4">
        <v>0</v>
      </c>
      <c r="E29" s="8">
        <v>576</v>
      </c>
      <c r="F29" s="8">
        <v>75</v>
      </c>
      <c r="G29" s="8">
        <v>1</v>
      </c>
      <c r="H29" s="8">
        <v>0</v>
      </c>
      <c r="I29" s="4">
        <v>0</v>
      </c>
      <c r="J29" s="6">
        <f t="shared" si="2"/>
        <v>652</v>
      </c>
      <c r="K29" s="5">
        <v>0</v>
      </c>
      <c r="L29" s="5">
        <v>0</v>
      </c>
      <c r="M29" s="5">
        <v>82</v>
      </c>
      <c r="N29" s="5">
        <v>22</v>
      </c>
      <c r="O29" s="5">
        <v>0</v>
      </c>
      <c r="P29" s="5">
        <v>0</v>
      </c>
      <c r="Q29" s="5">
        <v>0</v>
      </c>
      <c r="R29" s="7">
        <f t="shared" si="3"/>
        <v>104</v>
      </c>
    </row>
    <row r="30" spans="1:18" x14ac:dyDescent="0.2">
      <c r="A30" s="16"/>
      <c r="B30" s="13" t="s">
        <v>15</v>
      </c>
      <c r="C30" s="4">
        <v>0</v>
      </c>
      <c r="D30" s="4">
        <v>0</v>
      </c>
      <c r="E30" s="4">
        <v>1520</v>
      </c>
      <c r="F30" s="4">
        <v>12</v>
      </c>
      <c r="G30" s="4">
        <v>4</v>
      </c>
      <c r="H30" s="4">
        <v>2</v>
      </c>
      <c r="I30" s="10">
        <v>14</v>
      </c>
      <c r="J30" s="6">
        <f t="shared" si="2"/>
        <v>1552</v>
      </c>
      <c r="K30" s="5">
        <v>0</v>
      </c>
      <c r="L30" s="5">
        <v>0</v>
      </c>
      <c r="M30" s="5">
        <v>37</v>
      </c>
      <c r="N30" s="5">
        <v>13</v>
      </c>
      <c r="O30" s="5">
        <v>7</v>
      </c>
      <c r="P30" s="5">
        <v>1</v>
      </c>
      <c r="Q30" s="5">
        <v>5</v>
      </c>
      <c r="R30" s="7">
        <f t="shared" si="3"/>
        <v>63</v>
      </c>
    </row>
    <row r="31" spans="1:18" x14ac:dyDescent="0.2">
      <c r="A31" s="16"/>
      <c r="B31" s="14" t="s">
        <v>16</v>
      </c>
      <c r="C31" s="4">
        <v>0</v>
      </c>
      <c r="D31" s="4">
        <v>0</v>
      </c>
      <c r="E31" s="4">
        <v>737</v>
      </c>
      <c r="F31" s="4">
        <v>0</v>
      </c>
      <c r="G31" s="4">
        <v>16</v>
      </c>
      <c r="H31" s="4">
        <v>2</v>
      </c>
      <c r="I31" s="4">
        <v>0</v>
      </c>
      <c r="J31" s="6">
        <f t="shared" ref="J31" si="4">SUM(C31:I31)</f>
        <v>755</v>
      </c>
      <c r="K31" s="5">
        <v>0</v>
      </c>
      <c r="L31" s="5">
        <v>0</v>
      </c>
      <c r="M31" s="5">
        <v>31</v>
      </c>
      <c r="N31" s="5">
        <v>9</v>
      </c>
      <c r="O31" s="5">
        <v>5</v>
      </c>
      <c r="P31" s="5">
        <v>0</v>
      </c>
      <c r="Q31" s="5">
        <v>0</v>
      </c>
      <c r="R31" s="7">
        <f t="shared" ref="R31" si="5">SUM(K31:Q31)</f>
        <v>45</v>
      </c>
    </row>
    <row r="32" spans="1:18" x14ac:dyDescent="0.2">
      <c r="A32" s="16"/>
      <c r="B32" s="15" t="s">
        <v>17</v>
      </c>
      <c r="C32" s="12">
        <v>0</v>
      </c>
      <c r="D32" s="4">
        <v>0</v>
      </c>
      <c r="E32" s="4">
        <v>1060</v>
      </c>
      <c r="F32" s="4">
        <v>33</v>
      </c>
      <c r="G32" s="4">
        <v>11</v>
      </c>
      <c r="H32" s="4">
        <v>5</v>
      </c>
      <c r="I32" s="4">
        <v>0</v>
      </c>
      <c r="J32" s="11">
        <v>1109</v>
      </c>
      <c r="K32" s="5">
        <v>0</v>
      </c>
      <c r="L32" s="5">
        <v>0</v>
      </c>
      <c r="M32" s="5">
        <v>44</v>
      </c>
      <c r="N32" s="5">
        <v>1</v>
      </c>
      <c r="O32" s="5">
        <v>26</v>
      </c>
      <c r="P32" s="5">
        <v>2</v>
      </c>
      <c r="Q32" s="5">
        <v>0</v>
      </c>
      <c r="R32" s="7">
        <v>73</v>
      </c>
    </row>
    <row r="33" spans="1:18" x14ac:dyDescent="0.2">
      <c r="A33" s="16"/>
      <c r="B33" s="15" t="s">
        <v>18</v>
      </c>
      <c r="C33" s="12">
        <v>0</v>
      </c>
      <c r="D33" s="4">
        <v>0</v>
      </c>
      <c r="E33" s="4">
        <v>799</v>
      </c>
      <c r="F33" s="4">
        <v>72</v>
      </c>
      <c r="G33" s="4">
        <v>33</v>
      </c>
      <c r="H33" s="4">
        <v>0</v>
      </c>
      <c r="I33" s="4">
        <v>0</v>
      </c>
      <c r="J33" s="11">
        <v>904</v>
      </c>
      <c r="K33" s="5">
        <v>0</v>
      </c>
      <c r="L33" s="5">
        <v>0</v>
      </c>
      <c r="M33" s="5">
        <v>32</v>
      </c>
      <c r="N33" s="5">
        <v>0</v>
      </c>
      <c r="O33" s="5">
        <v>4</v>
      </c>
      <c r="P33" s="5">
        <v>0</v>
      </c>
      <c r="Q33" s="5">
        <v>0</v>
      </c>
      <c r="R33" s="7">
        <v>36</v>
      </c>
    </row>
    <row r="34" spans="1:18" x14ac:dyDescent="0.2">
      <c r="A34" s="16"/>
      <c r="B34" s="15" t="s">
        <v>19</v>
      </c>
      <c r="C34" s="12">
        <v>0</v>
      </c>
      <c r="D34" s="4">
        <v>0</v>
      </c>
      <c r="E34" s="4">
        <v>1190</v>
      </c>
      <c r="F34" s="4">
        <v>84</v>
      </c>
      <c r="G34" s="4">
        <v>71</v>
      </c>
      <c r="H34" s="4">
        <v>6</v>
      </c>
      <c r="I34" s="4">
        <v>0</v>
      </c>
      <c r="J34" s="11">
        <v>1351</v>
      </c>
      <c r="K34" s="5">
        <v>0</v>
      </c>
      <c r="L34" s="5">
        <v>0</v>
      </c>
      <c r="M34" s="5">
        <v>60</v>
      </c>
      <c r="N34" s="5">
        <v>6</v>
      </c>
      <c r="O34" s="5">
        <v>41</v>
      </c>
      <c r="P34" s="5">
        <v>3</v>
      </c>
      <c r="Q34" s="5">
        <v>0</v>
      </c>
      <c r="R34" s="7">
        <v>110</v>
      </c>
    </row>
    <row r="35" spans="1:18" x14ac:dyDescent="0.2">
      <c r="A35" s="16"/>
      <c r="B35" s="15" t="s">
        <v>20</v>
      </c>
      <c r="C35" s="12">
        <v>0</v>
      </c>
      <c r="D35" s="4">
        <v>0</v>
      </c>
      <c r="E35" s="4">
        <v>836</v>
      </c>
      <c r="F35" s="4">
        <v>23</v>
      </c>
      <c r="G35" s="4">
        <v>12</v>
      </c>
      <c r="H35" s="4">
        <v>1</v>
      </c>
      <c r="I35" s="4">
        <v>0</v>
      </c>
      <c r="J35" s="11">
        <v>872</v>
      </c>
      <c r="K35" s="5">
        <v>0</v>
      </c>
      <c r="L35" s="5">
        <v>0</v>
      </c>
      <c r="M35" s="5">
        <v>75</v>
      </c>
      <c r="N35" s="5">
        <v>0</v>
      </c>
      <c r="O35" s="5">
        <v>16</v>
      </c>
      <c r="P35" s="5">
        <v>1</v>
      </c>
      <c r="Q35" s="5">
        <v>0</v>
      </c>
      <c r="R35" s="7">
        <v>92</v>
      </c>
    </row>
    <row r="36" spans="1:18" x14ac:dyDescent="0.2">
      <c r="A36" s="16"/>
      <c r="B36" s="15" t="s">
        <v>21</v>
      </c>
      <c r="C36" s="12">
        <v>0</v>
      </c>
      <c r="D36" s="4">
        <v>0</v>
      </c>
      <c r="E36" s="4">
        <v>1151</v>
      </c>
      <c r="F36" s="4">
        <v>97</v>
      </c>
      <c r="G36" s="4">
        <v>83</v>
      </c>
      <c r="H36" s="4">
        <v>3</v>
      </c>
      <c r="I36" s="4">
        <v>0</v>
      </c>
      <c r="J36" s="11">
        <v>1334</v>
      </c>
      <c r="K36" s="5">
        <v>0</v>
      </c>
      <c r="L36" s="5">
        <v>0</v>
      </c>
      <c r="M36" s="5">
        <v>77</v>
      </c>
      <c r="N36" s="5">
        <v>0</v>
      </c>
      <c r="O36" s="5">
        <v>71</v>
      </c>
      <c r="P36" s="5">
        <v>4</v>
      </c>
      <c r="Q36" s="5">
        <v>0</v>
      </c>
      <c r="R36" s="7">
        <v>152</v>
      </c>
    </row>
    <row r="37" spans="1:18" x14ac:dyDescent="0.2">
      <c r="A37" s="16"/>
      <c r="B37" s="15" t="s">
        <v>22</v>
      </c>
      <c r="C37" s="12">
        <v>0</v>
      </c>
      <c r="D37" s="4">
        <v>0</v>
      </c>
      <c r="E37" s="4">
        <v>1007</v>
      </c>
      <c r="F37" s="4">
        <v>24</v>
      </c>
      <c r="G37" s="4">
        <v>2</v>
      </c>
      <c r="H37" s="4">
        <v>4</v>
      </c>
      <c r="I37" s="4">
        <v>17</v>
      </c>
      <c r="J37" s="11">
        <v>1054</v>
      </c>
      <c r="K37" s="5">
        <v>0</v>
      </c>
      <c r="L37" s="5">
        <v>0</v>
      </c>
      <c r="M37" s="5">
        <v>25</v>
      </c>
      <c r="N37" s="5">
        <v>0</v>
      </c>
      <c r="O37" s="5">
        <v>5</v>
      </c>
      <c r="P37" s="5">
        <v>3</v>
      </c>
      <c r="Q37" s="5">
        <v>0</v>
      </c>
      <c r="R37" s="7">
        <v>152</v>
      </c>
    </row>
    <row r="38" spans="1:18" x14ac:dyDescent="0.2">
      <c r="A38" s="18">
        <v>2026</v>
      </c>
      <c r="B38" s="14" t="s">
        <v>11</v>
      </c>
      <c r="C38" s="19">
        <v>0</v>
      </c>
      <c r="D38" s="19">
        <v>0</v>
      </c>
      <c r="E38" s="20">
        <v>983</v>
      </c>
      <c r="F38" s="20">
        <v>231</v>
      </c>
      <c r="G38" s="19">
        <v>22</v>
      </c>
      <c r="H38" s="19">
        <v>2</v>
      </c>
      <c r="I38" s="19">
        <v>34</v>
      </c>
      <c r="J38" s="21">
        <f t="shared" ref="J38" si="6">SUM(C38:I38)</f>
        <v>1272</v>
      </c>
      <c r="K38" s="22">
        <v>0</v>
      </c>
      <c r="L38" s="22">
        <v>0</v>
      </c>
      <c r="M38" s="22">
        <v>23</v>
      </c>
      <c r="N38" s="22">
        <v>3</v>
      </c>
      <c r="O38" s="22">
        <v>4</v>
      </c>
      <c r="P38" s="22">
        <v>0</v>
      </c>
      <c r="Q38" s="22">
        <v>3</v>
      </c>
      <c r="R38" s="23">
        <f t="shared" ref="R38" si="7">SUM(K38:Q38)</f>
        <v>33</v>
      </c>
    </row>
    <row r="39" spans="1:18" x14ac:dyDescent="0.2">
      <c r="A39" s="17"/>
      <c r="B39" s="13" t="s">
        <v>12</v>
      </c>
      <c r="C39" s="19">
        <v>0</v>
      </c>
      <c r="D39" s="19">
        <v>0</v>
      </c>
      <c r="E39" s="20">
        <v>1167</v>
      </c>
      <c r="F39" s="20">
        <v>56</v>
      </c>
      <c r="G39" s="19">
        <v>18</v>
      </c>
      <c r="H39" s="19">
        <v>0</v>
      </c>
      <c r="I39" s="19">
        <v>44</v>
      </c>
      <c r="J39" s="21">
        <f t="shared" ref="J39" si="8">SUM(C39:I39)</f>
        <v>1285</v>
      </c>
      <c r="K39" s="22">
        <v>0</v>
      </c>
      <c r="L39" s="22">
        <v>0</v>
      </c>
      <c r="M39" s="22">
        <v>53</v>
      </c>
      <c r="N39" s="22">
        <v>15</v>
      </c>
      <c r="O39" s="22">
        <v>0</v>
      </c>
      <c r="P39" s="22">
        <v>0</v>
      </c>
      <c r="Q39" s="22">
        <v>0</v>
      </c>
      <c r="R39" s="23">
        <f t="shared" ref="R39" si="9">SUM(K39:Q39)</f>
        <v>68</v>
      </c>
    </row>
    <row r="40" spans="1:18" x14ac:dyDescent="0.2">
      <c r="A40" s="17"/>
      <c r="B40" s="13" t="s">
        <v>13</v>
      </c>
      <c r="C40" s="19">
        <v>0</v>
      </c>
      <c r="D40" s="19">
        <v>0</v>
      </c>
      <c r="E40" s="20">
        <v>273</v>
      </c>
      <c r="F40" s="20">
        <v>48</v>
      </c>
      <c r="G40" s="19">
        <v>36</v>
      </c>
      <c r="H40" s="19">
        <v>0</v>
      </c>
      <c r="I40" s="19">
        <v>64</v>
      </c>
      <c r="J40" s="21">
        <f t="shared" ref="J40" si="10">SUM(C40:I40)</f>
        <v>421</v>
      </c>
      <c r="K40" s="22">
        <v>0</v>
      </c>
      <c r="L40" s="22">
        <v>0</v>
      </c>
      <c r="M40" s="22">
        <v>10</v>
      </c>
      <c r="N40" s="22">
        <v>3</v>
      </c>
      <c r="O40" s="22">
        <v>54</v>
      </c>
      <c r="P40" s="22">
        <v>0</v>
      </c>
      <c r="Q40" s="22">
        <v>1</v>
      </c>
      <c r="R40" s="23">
        <f t="shared" ref="R40" si="11">SUM(K40:Q40)</f>
        <v>68</v>
      </c>
    </row>
    <row r="41" spans="1:18" x14ac:dyDescent="0.2">
      <c r="A41" s="17"/>
      <c r="B41" s="13" t="s">
        <v>14</v>
      </c>
      <c r="C41" s="19">
        <v>0</v>
      </c>
      <c r="D41" s="19">
        <v>0</v>
      </c>
      <c r="E41" s="20">
        <v>422</v>
      </c>
      <c r="F41" s="20">
        <v>0</v>
      </c>
      <c r="G41" s="19">
        <v>98</v>
      </c>
      <c r="H41" s="19">
        <v>3</v>
      </c>
      <c r="I41" s="19">
        <v>136</v>
      </c>
      <c r="J41" s="21">
        <f t="shared" ref="J41:J42" si="12">SUM(C41:I41)</f>
        <v>659</v>
      </c>
      <c r="K41" s="22">
        <v>0</v>
      </c>
      <c r="L41" s="22">
        <v>0</v>
      </c>
      <c r="M41" s="22">
        <v>36</v>
      </c>
      <c r="N41" s="22">
        <v>3</v>
      </c>
      <c r="O41" s="22">
        <v>13</v>
      </c>
      <c r="P41" s="22">
        <v>0</v>
      </c>
      <c r="Q41" s="22">
        <v>28</v>
      </c>
      <c r="R41" s="23">
        <f t="shared" ref="R41:R42" si="13">SUM(K41:Q41)</f>
        <v>80</v>
      </c>
    </row>
    <row r="42" spans="1:18" x14ac:dyDescent="0.2">
      <c r="A42" s="17"/>
      <c r="B42" s="13" t="s">
        <v>15</v>
      </c>
      <c r="C42" s="19">
        <v>0</v>
      </c>
      <c r="D42" s="19">
        <v>0</v>
      </c>
      <c r="E42" s="20">
        <v>333</v>
      </c>
      <c r="F42" s="20">
        <v>0</v>
      </c>
      <c r="G42" s="19">
        <v>80</v>
      </c>
      <c r="H42" s="19">
        <v>0</v>
      </c>
      <c r="I42" s="19">
        <v>15</v>
      </c>
      <c r="J42" s="21">
        <f t="shared" si="12"/>
        <v>428</v>
      </c>
      <c r="K42" s="22">
        <v>0</v>
      </c>
      <c r="L42" s="22">
        <v>0</v>
      </c>
      <c r="M42" s="22">
        <v>47</v>
      </c>
      <c r="N42" s="22">
        <v>53</v>
      </c>
      <c r="O42" s="22">
        <v>54</v>
      </c>
      <c r="P42" s="22">
        <v>1</v>
      </c>
      <c r="Q42" s="22">
        <v>10</v>
      </c>
      <c r="R42" s="23">
        <f t="shared" si="13"/>
        <v>165</v>
      </c>
    </row>
  </sheetData>
  <mergeCells count="2">
    <mergeCell ref="A2:A13"/>
    <mergeCell ref="A14:A25"/>
  </mergeCells>
  <pageMargins left="0.7" right="0.7" top="0.75" bottom="0.75" header="0.3" footer="0.3"/>
  <headerFooter>
    <oddFooter>&amp;C_x000D_&amp;1#&amp;"Calibri"&amp;8&amp;K000000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Nishanth Selvakumar</dc:creator>
  <cp:keywords/>
  <dc:description/>
  <cp:lastModifiedBy>Joseph Varghese</cp:lastModifiedBy>
  <cp:revision/>
  <dcterms:created xsi:type="dcterms:W3CDTF">2025-06-17T12:57:53Z</dcterms:created>
  <dcterms:modified xsi:type="dcterms:W3CDTF">2026-08-01T00:12:08Z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2025-06-17T12:58:58Z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b80eb2f6-e7a3-4422-99cc-3759d4b91ad1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