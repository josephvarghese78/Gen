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fc-my.sharepoint.com/personal/rahahab_mfcgd_com/Documents/RISE EDL/Automation/"/>
    </mc:Choice>
  </mc:AlternateContent>
  <xr:revisionPtr revIDLastSave="50" documentId="8_{98FC882E-922D-4BB0-AFD4-BE0ECD3A98B7}" xr6:coauthVersionLast="47" xr6:coauthVersionMax="47" xr10:uidLastSave="{B076E25E-1717-435A-AB0D-81509EF4F925}"/>
  <bookViews>
    <workbookView xWindow="-110" yWindow="-110" windowWidth="19420" windowHeight="10300" activeTab="1" xr2:uid="{EF6E22F1-F745-4F73-8804-F23BE7942F75}"/>
  </bookViews>
  <sheets>
    <sheet name="Control_Sheet" sheetId="2" r:id="rId1"/>
    <sheet name="Metrics" sheetId="1" r:id="rId2"/>
    <sheet name="Risk_Register" sheetId="3" r:id="rId3"/>
    <sheet name="control_standard" sheetId="4" r:id="rId4"/>
    <sheet name="change_request" sheetId="5" r:id="rId5"/>
    <sheet name="incidents" sheetId="6" r:id="rId6"/>
    <sheet name="TASK_CI" sheetId="7" r:id="rId7"/>
    <sheet name="METRIC_INSTANCE" sheetId="8" r:id="rId8"/>
    <sheet name="SYS_USER" sheetId="9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9" l="1"/>
  <c r="N6" i="8" a="1"/>
  <c r="N6" i="8" s="1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G13" i="6"/>
  <c r="N12" i="6"/>
  <c r="G12" i="6"/>
  <c r="N11" i="6"/>
  <c r="G11" i="6"/>
  <c r="N10" i="6"/>
  <c r="G10" i="6"/>
  <c r="N9" i="6"/>
  <c r="G9" i="6"/>
  <c r="N8" i="6"/>
  <c r="G8" i="6"/>
  <c r="N7" i="6"/>
  <c r="G7" i="6"/>
  <c r="N6" i="6"/>
  <c r="G6" i="6"/>
  <c r="N5" i="6"/>
  <c r="G5" i="6"/>
  <c r="Q24" i="3"/>
  <c r="P24" i="3"/>
  <c r="Q23" i="3" a="1"/>
  <c r="Q23" i="3" s="1"/>
  <c r="P23" i="3"/>
  <c r="Q22" i="3"/>
  <c r="P22" i="3"/>
  <c r="Q21" i="3"/>
  <c r="P21" i="3"/>
  <c r="Q20" i="3"/>
  <c r="P20" i="3"/>
  <c r="Q19" i="3"/>
  <c r="P19" i="3"/>
  <c r="Q18" i="3"/>
  <c r="P18" i="3"/>
  <c r="Q17" i="3" a="1"/>
  <c r="Q17" i="3" s="1"/>
  <c r="P17" i="3"/>
  <c r="Q16" i="3"/>
  <c r="P16" i="3"/>
  <c r="Q15" i="3"/>
  <c r="P15" i="3"/>
  <c r="Q14" i="3"/>
  <c r="P14" i="3"/>
  <c r="Q13" i="3" a="1"/>
  <c r="Q13" i="3" s="1"/>
  <c r="P13" i="3"/>
  <c r="Q12" i="3"/>
  <c r="P12" i="3"/>
  <c r="Q11" i="3"/>
  <c r="P11" i="3"/>
  <c r="Q10" i="3"/>
  <c r="P10" i="3"/>
  <c r="Q9" i="3"/>
  <c r="P9" i="3"/>
  <c r="Q8" i="3"/>
  <c r="P8" i="3"/>
  <c r="Q7" i="3"/>
  <c r="P7" i="3"/>
  <c r="P6" i="3"/>
  <c r="Q5" i="3" a="1"/>
  <c r="Q5" i="3" s="1"/>
  <c r="P5" i="3"/>
  <c r="Q31" i="1"/>
  <c r="H31" i="1"/>
  <c r="Q30" i="1"/>
  <c r="H30" i="1"/>
  <c r="Q29" i="1"/>
  <c r="Q28" i="1"/>
  <c r="Q27" i="1"/>
  <c r="Q26" i="1"/>
  <c r="Q25" i="1"/>
  <c r="Q24" i="1"/>
  <c r="Q23" i="1"/>
  <c r="Q22" i="1"/>
  <c r="Q21" i="1"/>
  <c r="Q20" i="1"/>
  <c r="Q19" i="1"/>
  <c r="Q19" i="1" a="1"/>
  <c r="Q18" i="1"/>
  <c r="Q17" i="1"/>
  <c r="Q15" i="1"/>
  <c r="Q14" i="1"/>
  <c r="Q13" i="1"/>
  <c r="Q13" i="1" a="1"/>
  <c r="Q12" i="1"/>
  <c r="Q11" i="1"/>
  <c r="Q10" i="1"/>
  <c r="Q9" i="1"/>
  <c r="Q7" i="1"/>
  <c r="Q6" i="1"/>
  <c r="Q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<sst xmlns="http://schemas.openxmlformats.org/spreadsheetml/2006/main" count="2104" uniqueCount="347">
  <si>
    <t>DATA SOURCE: EDL RAW</t>
  </si>
  <si>
    <t>Target:EDL Curation Layer</t>
  </si>
  <si>
    <t>SOURCE SYSTEM </t>
  </si>
  <si>
    <t>Version</t>
  </si>
  <si>
    <t>Data Sourece Name</t>
  </si>
  <si>
    <t>Storage/Server</t>
  </si>
  <si>
    <t>Container name</t>
  </si>
  <si>
    <t>Table Name</t>
  </si>
  <si>
    <t>Column Name(Front End UI)</t>
  </si>
  <si>
    <t>Alias</t>
  </si>
  <si>
    <t>Data Type</t>
  </si>
  <si>
    <t>PK/FK</t>
  </si>
  <si>
    <t>Allow Null</t>
  </si>
  <si>
    <t>Transformations</t>
  </si>
  <si>
    <t>Storage Account</t>
  </si>
  <si>
    <t>Comtainer name</t>
  </si>
  <si>
    <t>Schema Name</t>
  </si>
  <si>
    <t>Table name</t>
  </si>
  <si>
    <t>Coloumn Name(Front End UI)</t>
  </si>
  <si>
    <t>Field name</t>
  </si>
  <si>
    <t>Datatype</t>
  </si>
  <si>
    <t>Comments</t>
  </si>
  <si>
    <t>Additional Info</t>
  </si>
  <si>
    <t>Ingetsion RAW - Curation</t>
  </si>
  <si>
    <t>Archer</t>
  </si>
  <si>
    <t>cacdgftriskmsci01adls</t>
  </si>
  <si>
    <t>gf-risk-archer-nonres-raw</t>
  </si>
  <si>
    <t>metrics</t>
  </si>
  <si>
    <t>Metric ID</t>
  </si>
  <si>
    <t>metric_id</t>
  </si>
  <si>
    <t>double</t>
  </si>
  <si>
    <t>PK</t>
  </si>
  <si>
    <t>Direct</t>
  </si>
  <si>
    <t>gf-risk-rise-nonres-cur</t>
  </si>
  <si>
    <t>risk_rise_archer</t>
  </si>
  <si>
    <t>bigint</t>
  </si>
  <si>
    <t>Primary Key</t>
  </si>
  <si>
    <t>Yes</t>
  </si>
  <si>
    <t>Amber Max</t>
  </si>
  <si>
    <t>amber_threshold_max</t>
  </si>
  <si>
    <t>Amber Min</t>
  </si>
  <si>
    <t>amber_threshold_min</t>
  </si>
  <si>
    <t>Helper Common Unit Name</t>
  </si>
  <si>
    <t>helper_common_unit_name</t>
  </si>
  <si>
    <t>string</t>
  </si>
  <si>
    <t>String</t>
  </si>
  <si>
    <t>Cross Reference</t>
  </si>
  <si>
    <t>SingleColumnGrid</t>
  </si>
  <si>
    <t>Control Standard Name</t>
  </si>
  <si>
    <t>control_standard_name</t>
  </si>
  <si>
    <t>Explode is required here because values in the control_standard_name field are single item arrays. E.g. [962043], [953063]</t>
  </si>
  <si>
    <t>Current Value</t>
  </si>
  <si>
    <t>current_value</t>
  </si>
  <si>
    <t>Green Max</t>
  </si>
  <si>
    <t>green_threshold_max</t>
  </si>
  <si>
    <t>Data sample suggests this is an Integer field but double is used to be safe.</t>
  </si>
  <si>
    <t>Green Min</t>
  </si>
  <si>
    <t>green_threshold_min</t>
  </si>
  <si>
    <t>In Remediation</t>
  </si>
  <si>
    <t>path_to_green_indicator</t>
  </si>
  <si>
    <t>array&lt;string&gt;</t>
  </si>
  <si>
    <t>ARRAY_JOIN(path_to_green_indicator, '; ') AS in_remediation</t>
  </si>
  <si>
    <t>ValueList</t>
  </si>
  <si>
    <t>ARRAY_JOIN is a function that collapses an array into a string. This field is expected to carry only a single value. ARRAY_JOIN is used as opposed to the EXPLODE function to avoid creating a new record in case constraint is not properly implemented upstream and multiple values come into this field</t>
  </si>
  <si>
    <t>Latest Measurement Date</t>
  </si>
  <si>
    <t>last_measurement_date</t>
  </si>
  <si>
    <t>date</t>
  </si>
  <si>
    <t>Timestamp is converted to Date data type to shed unnecessary parts of the values</t>
  </si>
  <si>
    <t>Measurement Frequency</t>
  </si>
  <si>
    <t>measurement_frequency</t>
  </si>
  <si>
    <t>Metric Coordinator(s)</t>
  </si>
  <si>
    <t>kri_metric_coordinator</t>
  </si>
  <si>
    <t>metric_coordinators</t>
  </si>
  <si>
    <t>Record Permissions</t>
  </si>
  <si>
    <t>The transformation converts an array with names into a string delimited by semi-colons. E.g. ["John, Doe", "Mary Stewart", "Steve"] is transformed to: John, Doe; Mary, Stewart; Steve.</t>
  </si>
  <si>
    <t>Metric Identifier</t>
  </si>
  <si>
    <t>metric_identifier</t>
  </si>
  <si>
    <t>Metric Name</t>
  </si>
  <si>
    <t>metric_name</t>
  </si>
  <si>
    <t>TextField</t>
  </si>
  <si>
    <t>Metric Type</t>
  </si>
  <si>
    <t>metric_type</t>
  </si>
  <si>
    <t>P2G ID</t>
  </si>
  <si>
    <t>kri_number</t>
  </si>
  <si>
    <t>P2P ID</t>
  </si>
  <si>
    <t>kri_id</t>
  </si>
  <si>
    <t>Performance Composite</t>
  </si>
  <si>
    <t>p2g_composite_reporting_identifier</t>
  </si>
  <si>
    <t>Red Max</t>
  </si>
  <si>
    <t>red_threshold_max</t>
  </si>
  <si>
    <t>Red Min</t>
  </si>
  <si>
    <t>red_threshold_min</t>
  </si>
  <si>
    <t>Residual Risk Status</t>
  </si>
  <si>
    <t>p2g_status</t>
  </si>
  <si>
    <t>Risk Appetite Statement</t>
  </si>
  <si>
    <t>risk_appetite_metric</t>
  </si>
  <si>
    <t>Helper Segment Name</t>
  </si>
  <si>
    <t>helper_segment_name</t>
  </si>
  <si>
    <t>Status</t>
  </si>
  <si>
    <t>status</t>
  </si>
  <si>
    <t>Unit of Measure</t>
  </si>
  <si>
    <t>format</t>
  </si>
  <si>
    <t>Risk Category</t>
  </si>
  <si>
    <t>risk_category1</t>
  </si>
  <si>
    <t>Business Process</t>
  </si>
  <si>
    <t>business_process</t>
  </si>
  <si>
    <t>Audit Column</t>
  </si>
  <si>
    <t>curation_dt</t>
  </si>
  <si>
    <t>Calendar date when record was curated.</t>
  </si>
  <si>
    <t>curation_ts</t>
  </si>
  <si>
    <t>TimeStamp</t>
  </si>
  <si>
    <t>Date and time when record was curated.</t>
  </si>
  <si>
    <t>job_run_id</t>
  </si>
  <si>
    <t>Job execution identifier from orchestration tool, e.g. ADF, Databricks job, Airflow.</t>
  </si>
  <si>
    <t>service_id</t>
  </si>
  <si>
    <t>Identifier for service or application responsible for the load.</t>
  </si>
  <si>
    <t>source_id</t>
  </si>
  <si>
    <t>int</t>
  </si>
  <si>
    <t>Numeric identifier for the source system the record originated from.</t>
  </si>
  <si>
    <t>Load_DT</t>
  </si>
  <si>
    <t>Date</t>
  </si>
  <si>
    <t>load_dt</t>
  </si>
  <si>
    <t>Raw load date</t>
  </si>
  <si>
    <t>load_ts</t>
  </si>
  <si>
    <t>Raw load date-time</t>
  </si>
  <si>
    <t>cast(last_measurement_date as DATE) as lastest_measurement_date</t>
  </si>
  <si>
    <t>ARRAY_JOIN(measurement_frequency, '; ') AS measurement_frequency</t>
  </si>
  <si>
    <t>ARRAY_JOIN(
     TRANSFORM(kri_metric_coordinator, name -&gt;
          CASE
               WHEN name NOT LIKE '%,%' THEN REPLACE(name, ' ', ', ') -- e.g. "John Doe" -&gt; "John, Doe"
               ELSE name -- e.g. "Steve" -&gt; "Steve", "John, Doe" -&gt; "John, Doe"
           END
       ),
       '; '
   ) AS metric_coordinators</t>
  </si>
  <si>
    <t>ARRAY_JOIN(metric_identifier, '; ') AS metric_identifier</t>
  </si>
  <si>
    <t>ARRAY_JOIN(metric_type, '; ') AS metric_type</t>
  </si>
  <si>
    <t>ARRAY_JOIN(p2g_composite_reporting_identifier, '; ') AS performance_composite</t>
  </si>
  <si>
    <t>ARRAY_JOIN(p2g_status, '; ') AS residual_risk_status</t>
  </si>
  <si>
    <t>ARRAY_JOIN(risk_appetite_metric, '; ') AS risk_appetite_statement</t>
  </si>
  <si>
    <t>ARRAY_JOIN(status, '; ') AS status</t>
  </si>
  <si>
    <t>ARRAY_JOIN(format, '; ') AS unit_of_measure</t>
  </si>
  <si>
    <t>ARRAY_JOIN(risk_category1, '; ') AS risk_category</t>
  </si>
  <si>
    <t xml:space="preserve">ARRAY_JOIN(business_process, '; ') AS business_process
</t>
  </si>
  <si>
    <t>To_timestamp(load_dt) as Load_ts</t>
  </si>
  <si>
    <t>Metrics</t>
  </si>
  <si>
    <t>Y</t>
  </si>
  <si>
    <t>Sheet_Name</t>
  </si>
  <si>
    <t>Run_flag</t>
  </si>
  <si>
    <t>Column Name</t>
  </si>
  <si>
    <t>Comment</t>
  </si>
  <si>
    <t>risk_register</t>
  </si>
  <si>
    <t>Risk ID</t>
  </si>
  <si>
    <t>risk_id</t>
  </si>
  <si>
    <t>Common Unit Name</t>
  </si>
  <si>
    <t>common_unit_name</t>
  </si>
  <si>
    <t>common_unit</t>
  </si>
  <si>
    <t>Inherent Risk Rating</t>
  </si>
  <si>
    <t>risk_assessment_inherent_risk_rating</t>
  </si>
  <si>
    <t>Residual Risk Rating</t>
  </si>
  <si>
    <t>residual_risk_rating</t>
  </si>
  <si>
    <t>Business Process Name</t>
  </si>
  <si>
    <t>business_process_name</t>
  </si>
  <si>
    <t>Risk Category Level I Name</t>
  </si>
  <si>
    <t>risk_category_level_i_name</t>
  </si>
  <si>
    <t>Risk Category Level II Name</t>
  </si>
  <si>
    <t>risk_category_level_iii_name</t>
  </si>
  <si>
    <t>Risk Category Level III Name</t>
  </si>
  <si>
    <t>risk_category_level_iii_name_1</t>
  </si>
  <si>
    <t>Risk Description</t>
  </si>
  <si>
    <t>description</t>
  </si>
  <si>
    <t>Risk Owner</t>
  </si>
  <si>
    <t>risk_assessment_owner</t>
  </si>
  <si>
    <t>Segment</t>
  </si>
  <si>
    <t>segment</t>
  </si>
  <si>
    <t>Principal Risk Bucket</t>
  </si>
  <si>
    <t>principal_risk_bucket</t>
  </si>
  <si>
    <t>Risk Coordinator</t>
  </si>
  <si>
    <t>risk_assessment_coordinator</t>
  </si>
  <si>
    <t>Segment Risk Reviewer</t>
  </si>
  <si>
    <t>segment_risk_reviewer</t>
  </si>
  <si>
    <t>Risk Assessment Type</t>
  </si>
  <si>
    <t>risk_assessment_type</t>
  </si>
  <si>
    <t>Date Risk First Captured</t>
  </si>
  <si>
    <t>Date_Risk_First_Captured</t>
  </si>
  <si>
    <t>Third Party Name</t>
  </si>
  <si>
    <t>third_party_name_</t>
  </si>
  <si>
    <t>array&lt;bigint&gt;</t>
  </si>
  <si>
    <t>Inherent Risk Rating Rationale</t>
  </si>
  <si>
    <t>Inherent_Risk_Rating_Rationale</t>
  </si>
  <si>
    <t>Overall Control Effectiveness Rating</t>
  </si>
  <si>
    <t>overall_control_effectiveness_rating</t>
  </si>
  <si>
    <t>gf-risk-archerff-nonres-raw</t>
  </si>
  <si>
    <t>batch_id</t>
  </si>
  <si>
    <t>Identifies the batch execution that loaded this record.</t>
  </si>
  <si>
    <t>ARRAY_JOIN(risk_assessment_inherent_risk_rating, '; ') AS inherent_risk_rating</t>
  </si>
  <si>
    <t>ARRAY_JOIN(residual_risk_rating, '; ') AS residual_risk_rating</t>
  </si>
  <si>
    <t>ARRAY_JOIN(risk_assessment_owner, '; ') AS risk_owner</t>
  </si>
  <si>
    <t>ARRAY_JOIN(
     TRANSFORM(Risk_Assessment_Coordinator, name -&gt;
          CASE
               WHEN name NOT LIKE '%,%' THEN REPLACE(name, ' ', ', ') -- e.g. "John Doe" -&gt; "John, Doe"
               ELSE name -- e.g. "Steve" -&gt; "Steve", "John, Doe" -&gt; "John, Doe"
           END
       ),
       '; '
   ) AS risk_coordinator</t>
  </si>
  <si>
    <t>ARRAY_JOIN(
     TRANSFORM(segment_risk_reviewer, name -&gt;
          CASE
               WHEN name NOT LIKE '%,%' THEN REPLACE(name, ' ', ', ') -- e.g. "John Doe" -&gt; "John, Doe"
               ELSE name -- e.g. "Steve" -&gt; "Steve", "John, Doe" -&gt; "John, Doe"
           END
       ),
       '; '
   ) AS segment_risk_reviewer</t>
  </si>
  <si>
    <t>ARRAY_JOIN(risk_assessment_type, '; ') AS risk_assessment_type</t>
  </si>
  <si>
    <t xml:space="preserve">ARRAY_JOIN(third_party_name_, '; ') AS third_party_name
</t>
  </si>
  <si>
    <t xml:space="preserve"> ARRAY_JOIN(overall_control_effectiveness_rating, '; ') AS overall_control_effectiveness_rating</t>
  </si>
  <si>
    <t>Risk_Register</t>
  </si>
  <si>
    <t>Colum Name (Front End UI)</t>
  </si>
  <si>
    <t>Field Name (front End UI)</t>
  </si>
  <si>
    <t>control_standard</t>
  </si>
  <si>
    <t>Control Standard Description</t>
  </si>
  <si>
    <t>statement</t>
  </si>
  <si>
    <t>Direct+Rename</t>
  </si>
  <si>
    <t>Control_Standards</t>
  </si>
  <si>
    <t>control_standard_description</t>
  </si>
  <si>
    <t>TextArea</t>
  </si>
  <si>
    <t>standard_name</t>
  </si>
  <si>
    <t>textfield</t>
  </si>
  <si>
    <t>Control Standard ID</t>
  </si>
  <si>
    <t>tracking_id</t>
  </si>
  <si>
    <t>control_standard_id</t>
  </si>
  <si>
    <t>Control Standard Owner</t>
  </si>
  <si>
    <t>control_standard_owner</t>
  </si>
  <si>
    <t>Single select from value list+convert to String</t>
  </si>
  <si>
    <t>ValuesPopup</t>
  </si>
  <si>
    <t>Control Standard Status</t>
  </si>
  <si>
    <t>Single select from value list+rename+convert to String</t>
  </si>
  <si>
    <t>control_standard_status</t>
  </si>
  <si>
    <t>Values List</t>
  </si>
  <si>
    <t>Dropdowns</t>
  </si>
  <si>
    <t>Reference_Controls</t>
  </si>
  <si>
    <t>master_controls</t>
  </si>
  <si>
    <t>FK</t>
  </si>
  <si>
    <t>Explode_outer + Rename</t>
  </si>
  <si>
    <t>reference_controls_id</t>
  </si>
  <si>
    <t>Related Records</t>
  </si>
  <si>
    <t/>
  </si>
  <si>
    <t>Target: EDL Curation Layer</t>
  </si>
  <si>
    <t>Business Name</t>
  </si>
  <si>
    <t>Technical Name</t>
  </si>
  <si>
    <t>cacdetsazf01adls</t>
  </si>
  <si>
    <t>gf-ets-snow-nonres-raw/SNOW__RAW_PARQUET/CHANGE_REQUEST/2026-02-05/</t>
  </si>
  <si>
    <t>change_request</t>
  </si>
  <si>
    <t>Number</t>
  </si>
  <si>
    <t>number</t>
  </si>
  <si>
    <t>servicenow</t>
  </si>
  <si>
    <t>Might be PK</t>
  </si>
  <si>
    <t>Priority</t>
  </si>
  <si>
    <t>priority</t>
  </si>
  <si>
    <t>long</t>
  </si>
  <si>
    <t>Phase</t>
  </si>
  <si>
    <t>phase</t>
  </si>
  <si>
    <t>Change owner</t>
  </si>
  <si>
    <t>assigned_to</t>
  </si>
  <si>
    <t>change_owner</t>
  </si>
  <si>
    <t>Escalation</t>
  </si>
  <si>
    <t>escalation</t>
  </si>
  <si>
    <t>Request item [Catalog Task] Item</t>
  </si>
  <si>
    <t>task_effective_number</t>
  </si>
  <si>
    <t>request_item_catalog_task</t>
  </si>
  <si>
    <t>Task type</t>
  </si>
  <si>
    <t>type</t>
  </si>
  <si>
    <t>task_type</t>
  </si>
  <si>
    <t>create</t>
  </si>
  <si>
    <t>sys_created_on</t>
  </si>
  <si>
    <t>timestamp</t>
  </si>
  <si>
    <t>Planned start date</t>
  </si>
  <si>
    <t>start_date</t>
  </si>
  <si>
    <t>planned_start_date</t>
  </si>
  <si>
    <t>Planned end date</t>
  </si>
  <si>
    <t>end_date</t>
  </si>
  <si>
    <t>planned_end_date</t>
  </si>
  <si>
    <t>Last Updated</t>
  </si>
  <si>
    <t>sys_updated_on</t>
  </si>
  <si>
    <t>last_updated</t>
  </si>
  <si>
    <t>Created by</t>
  </si>
  <si>
    <t>sys_created_by</t>
  </si>
  <si>
    <t>created_by</t>
  </si>
  <si>
    <t>Updated by</t>
  </si>
  <si>
    <t>sys_updated_by</t>
  </si>
  <si>
    <t>updated_by</t>
  </si>
  <si>
    <t>Work notes</t>
  </si>
  <si>
    <t>work_notes_list</t>
  </si>
  <si>
    <t>work_notes</t>
  </si>
  <si>
    <t>Activity due</t>
  </si>
  <si>
    <t>Activity_due</t>
  </si>
  <si>
    <t>boolean</t>
  </si>
  <si>
    <t>activity_due</t>
  </si>
  <si>
    <t>Active</t>
  </si>
  <si>
    <t>active</t>
  </si>
  <si>
    <t>Additional comments</t>
  </si>
  <si>
    <t>comments_and_work_notes</t>
  </si>
  <si>
    <t>additional_comments</t>
  </si>
  <si>
    <t>Summary of change</t>
  </si>
  <si>
    <t>short_description</t>
  </si>
  <si>
    <t>summary_of_change</t>
  </si>
  <si>
    <t>Segment Impact</t>
  </si>
  <si>
    <t>u_segment_impact</t>
  </si>
  <si>
    <t>segment_impact</t>
  </si>
  <si>
    <t>Parent</t>
  </si>
  <si>
    <t>parent</t>
  </si>
  <si>
    <t>Regional Impact</t>
  </si>
  <si>
    <t>u_regional_impact</t>
  </si>
  <si>
    <t>regional_impact</t>
  </si>
  <si>
    <t>sys_id</t>
  </si>
  <si>
    <t>Incident</t>
  </si>
  <si>
    <t>yes</t>
  </si>
  <si>
    <t>Reopened</t>
  </si>
  <si>
    <t>reopened_by</t>
  </si>
  <si>
    <t>State</t>
  </si>
  <si>
    <t>Assigned to</t>
  </si>
  <si>
    <t>Assigned_to</t>
  </si>
  <si>
    <t>Short description</t>
  </si>
  <si>
    <t>Short_description</t>
  </si>
  <si>
    <t>Category</t>
  </si>
  <si>
    <t>Created</t>
  </si>
  <si>
    <t>dv_work_notes_list</t>
  </si>
  <si>
    <t>Resolved</t>
  </si>
  <si>
    <t>resolved_at</t>
  </si>
  <si>
    <t>Opened</t>
  </si>
  <si>
    <t>opened_at</t>
  </si>
  <si>
    <t>Promoted</t>
  </si>
  <si>
    <t>promoted_on</t>
  </si>
  <si>
    <t>Segment Impacted</t>
  </si>
  <si>
    <t>u_division_impacted</t>
  </si>
  <si>
    <t>Initial Segment Accountable</t>
  </si>
  <si>
    <t>u_segment_accountable</t>
  </si>
  <si>
    <t>Segment Accountable</t>
  </si>
  <si>
    <t>BU Impacted</t>
  </si>
  <si>
    <t>u_bu_impacted</t>
  </si>
  <si>
    <t>Mean Time to Restore (MTTR)</t>
  </si>
  <si>
    <t>u_mean_time_to_recover_mttr</t>
  </si>
  <si>
    <t>decimal(32,2)</t>
  </si>
  <si>
    <t>Caused by Change</t>
  </si>
  <si>
    <t>caused_by</t>
  </si>
  <si>
    <t>Communication Status</t>
  </si>
  <si>
    <t>u_mim_communication_status</t>
  </si>
  <si>
    <t>Type of Impact</t>
  </si>
  <si>
    <t>u_type_of_impact_select_all_that_apply</t>
  </si>
  <si>
    <t>Number of Customers Impacted</t>
  </si>
  <si>
    <t>u_number_customer_impacted</t>
  </si>
  <si>
    <t>Regions Impacted</t>
  </si>
  <si>
    <t>u_regions_impacted</t>
  </si>
  <si>
    <t>task_ci</t>
  </si>
  <si>
    <t>Affected CI/Task</t>
  </si>
  <si>
    <t>task</t>
  </si>
  <si>
    <t>metric_instance</t>
  </si>
  <si>
    <t>Resolve time</t>
  </si>
  <si>
    <t>resolve_time</t>
  </si>
  <si>
    <t>Timestamp</t>
  </si>
  <si>
    <t>sys_user</t>
  </si>
  <si>
    <t>Employee number</t>
  </si>
  <si>
    <t>employee_number</t>
  </si>
  <si>
    <t>incidents</t>
  </si>
  <si>
    <t>TASK_CI</t>
  </si>
  <si>
    <t>METRIC_INSTANCE</t>
  </si>
  <si>
    <t>SYS_USER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</si>
</sst>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Manulife JH Sans"/>
      <family val="2"/>
    </font>
    <font>
      <b/>
      <sz val="14"/>
      <color rgb="FFFFFFFF"/>
      <name val="Calibri"/>
      <family val="2"/>
    </font>
    <font>
      <sz val="12"/>
      <color rgb="FFFFFFFF"/>
      <name val="Manulife JH Sans"/>
      <family val="2"/>
    </font>
    <font>
      <b/>
      <sz val="12"/>
      <color rgb="FFFFFFFF"/>
      <name val="Manulife JH Sans"/>
      <family val="2"/>
    </font>
    <font>
      <b/>
      <sz val="12"/>
      <color rgb="FFFFFFFF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</font>
    <font>
      <b/>
      <sz val="11"/>
      <color rgb="FF000000"/>
      <name val="Aptos Narrow"/>
      <family val="2"/>
      <scheme val="minor"/>
    </font>
    <font>
      <b/>
      <sz val="10"/>
      <color rgb="FF000000"/>
      <name val="Arial"/>
    </font>
    <font>
      <b/>
      <sz val="10"/>
      <color rgb="FF000000"/>
      <name val="Arial"/>
      <family val="2"/>
    </font>
    <font>
      <sz val="11"/>
      <name val="Aptos Display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0"/>
      <color theme="1"/>
      <name val="Aptos Display"/>
      <scheme val="major"/>
    </font>
    <font>
      <sz val="10"/>
      <color rgb="FF000000"/>
      <name val="Aptos Display"/>
      <scheme val="major"/>
    </font>
    <font>
      <sz val="11"/>
      <color rgb="FF000000"/>
      <name val="Calibri"/>
    </font>
    <font>
      <sz val="11"/>
      <color rgb="FF000000"/>
      <name val="Aptos Display"/>
      <scheme val="major"/>
    </font>
    <font>
      <b/>
      <sz val="11"/>
      <color rgb="FFFFFFFF"/>
      <name val="Manulife JH Sans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FFFFFF"/>
      <name val="Manulife JH Sans"/>
    </font>
    <font>
      <sz val="12"/>
      <color theme="1"/>
      <name val="Aptos Narrow"/>
      <family val="2"/>
      <scheme val="minor"/>
    </font>
    <font>
      <b/>
      <sz val="10"/>
      <color rgb="FF000000"/>
      <name val="Aptos Display"/>
      <scheme val="maj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rgb="FFFFFFFF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rgb="FFFFFFFF"/>
      <name val="Aptos Display"/>
      <family val="2"/>
      <scheme val="major"/>
    </font>
    <font>
      <b/>
      <sz val="12"/>
      <color rgb="FFFFFFFF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E8E8E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5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0" borderId="8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6" fillId="5" borderId="7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7" fillId="4" borderId="7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7" fillId="5" borderId="9" xfId="0" applyFont="1" applyFill="1" applyBorder="1" applyAlignment="1">
      <alignment vertical="center" wrapText="1"/>
    </xf>
    <xf numFmtId="0" fontId="17" fillId="5" borderId="10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164" fontId="0" fillId="0" borderId="7" xfId="0" applyNumberForma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6" fillId="4" borderId="7" xfId="0" applyFont="1" applyFill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15" fillId="0" borderId="7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7" xfId="0" applyFont="1" applyBorder="1" applyAlignment="1">
      <alignment vertical="center" wrapText="1"/>
    </xf>
    <xf numFmtId="0" fontId="21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15" fillId="0" borderId="11" xfId="0" applyFon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15" fillId="0" borderId="10" xfId="0" applyFont="1" applyBorder="1" applyAlignment="1">
      <alignment vertical="center"/>
    </xf>
    <xf numFmtId="0" fontId="14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left" vertical="center" wrapText="1"/>
    </xf>
    <xf numFmtId="0" fontId="15" fillId="0" borderId="13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" fillId="0" borderId="1" xfId="0" applyFont="1" applyBorder="1"/>
    <xf numFmtId="0" fontId="24" fillId="3" borderId="1" xfId="0" applyFont="1" applyFill="1" applyBorder="1" applyAlignment="1">
      <alignment vertical="center" wrapText="1"/>
    </xf>
    <xf numFmtId="164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4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vertical="center"/>
    </xf>
    <xf numFmtId="0" fontId="27" fillId="4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164" fontId="28" fillId="0" borderId="1" xfId="0" applyNumberFormat="1" applyFont="1" applyBorder="1" applyAlignment="1">
      <alignment vertical="center"/>
    </xf>
    <xf numFmtId="0" fontId="26" fillId="4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0" fontId="26" fillId="4" borderId="1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6" fillId="4" borderId="1" xfId="0" applyFont="1" applyFill="1" applyBorder="1" applyAlignment="1">
      <alignment vertical="center"/>
    </xf>
    <xf numFmtId="0" fontId="28" fillId="0" borderId="1" xfId="0" applyFont="1" applyBorder="1" applyAlignment="1">
      <alignment horizontal="left" vertical="center" wrapText="1"/>
    </xf>
    <xf numFmtId="0" fontId="28" fillId="0" borderId="7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4" fillId="3" borderId="1" xfId="0" applyFont="1" applyFill="1" applyBorder="1"/>
    <xf numFmtId="0" fontId="2" fillId="3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29" fillId="3" borderId="14" xfId="0" applyFont="1" applyFill="1" applyBorder="1"/>
    <xf numFmtId="0" fontId="5" fillId="3" borderId="6" xfId="0" applyFont="1" applyFill="1" applyBorder="1"/>
    <xf numFmtId="0" fontId="6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14" fillId="0" borderId="1" xfId="0" applyFont="1" applyBorder="1"/>
    <xf numFmtId="0" fontId="14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wrapText="1"/>
    </xf>
    <xf numFmtId="0" fontId="18" fillId="0" borderId="1" xfId="0" applyFont="1" applyBorder="1"/>
    <xf numFmtId="0" fontId="21" fillId="0" borderId="15" xfId="0" applyFont="1" applyBorder="1"/>
    <xf numFmtId="0" fontId="17" fillId="4" borderId="2" xfId="0" applyFont="1" applyFill="1" applyBorder="1" applyAlignment="1">
      <alignment wrapText="1"/>
    </xf>
    <xf numFmtId="0" fontId="0" fillId="0" borderId="7" xfId="0" applyBorder="1"/>
    <xf numFmtId="0" fontId="26" fillId="5" borderId="4" xfId="0" applyFont="1" applyFill="1" applyBorder="1" applyAlignment="1">
      <alignment horizontal="left"/>
    </xf>
    <xf numFmtId="0" fontId="26" fillId="0" borderId="1" xfId="0" applyFont="1" applyBorder="1"/>
    <xf numFmtId="0" fontId="30" fillId="0" borderId="1" xfId="0" applyFont="1" applyBorder="1"/>
    <xf numFmtId="0" fontId="18" fillId="0" borderId="4" xfId="0" applyFont="1" applyBorder="1"/>
    <xf numFmtId="164" fontId="1" fillId="0" borderId="1" xfId="0" applyNumberFormat="1" applyFont="1" applyBorder="1"/>
    <xf numFmtId="0" fontId="9" fillId="0" borderId="1" xfId="0" applyFont="1" applyBorder="1"/>
    <xf numFmtId="0" fontId="9" fillId="4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wrapText="1"/>
    </xf>
    <xf numFmtId="0" fontId="13" fillId="0" borderId="1" xfId="0" applyFont="1" applyBorder="1"/>
    <xf numFmtId="0" fontId="31" fillId="0" borderId="15" xfId="0" applyFont="1" applyBorder="1"/>
    <xf numFmtId="0" fontId="10" fillId="6" borderId="2" xfId="0" applyFont="1" applyFill="1" applyBorder="1" applyAlignment="1">
      <alignment wrapText="1"/>
    </xf>
    <xf numFmtId="0" fontId="1" fillId="0" borderId="7" xfId="0" applyFont="1" applyBorder="1"/>
    <xf numFmtId="0" fontId="27" fillId="5" borderId="4" xfId="0" applyFont="1" applyFill="1" applyBorder="1" applyAlignment="1">
      <alignment horizontal="left"/>
    </xf>
    <xf numFmtId="0" fontId="27" fillId="0" borderId="1" xfId="0" applyFont="1" applyBorder="1"/>
    <xf numFmtId="0" fontId="32" fillId="0" borderId="1" xfId="0" applyFont="1" applyBorder="1"/>
    <xf numFmtId="0" fontId="1" fillId="0" borderId="0" xfId="0" applyFont="1"/>
    <xf numFmtId="0" fontId="17" fillId="6" borderId="1" xfId="0" applyFont="1" applyFill="1" applyBorder="1" applyAlignment="1">
      <alignment wrapText="1"/>
    </xf>
    <xf numFmtId="0" fontId="17" fillId="6" borderId="2" xfId="0" applyFont="1" applyFill="1" applyBorder="1" applyAlignment="1">
      <alignment wrapText="1"/>
    </xf>
    <xf numFmtId="0" fontId="15" fillId="0" borderId="1" xfId="0" applyFont="1" applyBorder="1"/>
    <xf numFmtId="0" fontId="1" fillId="0" borderId="16" xfId="0" applyFont="1" applyBorder="1"/>
    <xf numFmtId="0" fontId="1" fillId="0" borderId="10" xfId="0" applyFont="1" applyBorder="1"/>
    <xf numFmtId="0" fontId="1" fillId="0" borderId="12" xfId="0" applyFont="1" applyBorder="1" applyAlignment="1">
      <alignment horizontal="left"/>
    </xf>
    <xf numFmtId="164" fontId="20" fillId="0" borderId="15" xfId="0" applyNumberFormat="1" applyFont="1" applyBorder="1"/>
    <xf numFmtId="0" fontId="21" fillId="0" borderId="7" xfId="0" applyFont="1" applyBorder="1"/>
    <xf numFmtId="0" fontId="21" fillId="4" borderId="7" xfId="0" applyFont="1" applyFill="1" applyBorder="1" applyAlignment="1">
      <alignment horizontal="left"/>
    </xf>
    <xf numFmtId="0" fontId="20" fillId="0" borderId="7" xfId="0" applyFont="1" applyBorder="1"/>
    <xf numFmtId="0" fontId="20" fillId="0" borderId="17" xfId="0" applyFont="1" applyBorder="1"/>
    <xf numFmtId="0" fontId="0" fillId="0" borderId="7" xfId="0" applyBorder="1" applyAlignment="1">
      <alignment horizontal="left"/>
    </xf>
    <xf numFmtId="0" fontId="22" fillId="0" borderId="7" xfId="0" applyFont="1" applyBorder="1"/>
    <xf numFmtId="0" fontId="0" fillId="0" borderId="11" xfId="0" applyBorder="1"/>
    <xf numFmtId="0" fontId="21" fillId="0" borderId="17" xfId="0" applyFont="1" applyBorder="1"/>
    <xf numFmtId="0" fontId="15" fillId="0" borderId="8" xfId="0" applyFont="1" applyBorder="1"/>
    <xf numFmtId="0" fontId="22" fillId="0" borderId="8" xfId="0" applyFont="1" applyBorder="1"/>
    <xf numFmtId="0" fontId="22" fillId="0" borderId="1" xfId="0" applyFont="1" applyBorder="1"/>
    <xf numFmtId="0" fontId="23" fillId="0" borderId="1" xfId="0" applyFont="1" applyBorder="1"/>
    <xf numFmtId="0" fontId="34" fillId="3" borderId="1" xfId="0" applyFont="1" applyFill="1" applyBorder="1" applyAlignment="1">
      <alignment horizontal="center"/>
    </xf>
    <xf numFmtId="0" fontId="35" fillId="0" borderId="0" xfId="0" applyFont="1"/>
    <xf numFmtId="0" fontId="34" fillId="3" borderId="1" xfId="0" applyFont="1" applyFill="1" applyBorder="1"/>
    <xf numFmtId="0" fontId="37" fillId="2" borderId="6" xfId="0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8" fillId="0" borderId="18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/>
    </xf>
    <xf numFmtId="0" fontId="40" fillId="0" borderId="1" xfId="1" applyFont="1" applyBorder="1" applyAlignment="1">
      <alignment horizontal="left" vertical="center"/>
    </xf>
    <xf numFmtId="0" fontId="35" fillId="6" borderId="1" xfId="0" applyFont="1" applyFill="1" applyBorder="1" applyAlignment="1">
      <alignment vertical="center"/>
    </xf>
    <xf numFmtId="0" fontId="38" fillId="6" borderId="1" xfId="0" applyFont="1" applyFill="1" applyBorder="1" applyAlignment="1">
      <alignment horizontal="left" vertical="center"/>
    </xf>
    <xf numFmtId="0" fontId="38" fillId="6" borderId="1" xfId="0" applyFont="1" applyFill="1" applyBorder="1" applyAlignment="1">
      <alignment horizontal="left" vertical="center" wrapText="1"/>
    </xf>
    <xf numFmtId="0" fontId="40" fillId="6" borderId="1" xfId="0" applyFont="1" applyFill="1" applyBorder="1" applyAlignment="1">
      <alignment horizontal="left" vertical="center"/>
    </xf>
    <xf numFmtId="0" fontId="35" fillId="6" borderId="1" xfId="0" applyFont="1" applyFill="1" applyBorder="1" applyAlignment="1">
      <alignment horizontal="left" vertical="center"/>
    </xf>
    <xf numFmtId="0" fontId="35" fillId="6" borderId="0" xfId="0" applyFont="1" applyFill="1"/>
    <xf numFmtId="0" fontId="41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/>
    <xf numFmtId="0" fontId="35" fillId="0" borderId="0" xfId="0" applyFont="1" applyAlignment="1">
      <alignment vertical="center"/>
    </xf>
    <xf numFmtId="0" fontId="37" fillId="2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/>
    <xf numFmtId="0" fontId="40" fillId="0" borderId="15" xfId="0" applyFont="1" applyBorder="1" applyAlignment="1">
      <alignment horizontal="left" vertical="center"/>
    </xf>
    <xf numFmtId="0" fontId="40" fillId="5" borderId="1" xfId="0" applyFont="1" applyFill="1" applyBorder="1" applyAlignment="1">
      <alignment horizontal="left" vertical="center"/>
    </xf>
    <xf numFmtId="0" fontId="38" fillId="4" borderId="1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/>
    </xf>
    <xf numFmtId="0" fontId="42" fillId="0" borderId="1" xfId="0" applyFont="1" applyBorder="1" applyAlignment="1">
      <alignment vertical="center"/>
    </xf>
    <xf numFmtId="0" fontId="43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 wrapText="1"/>
    </xf>
    <xf numFmtId="0" fontId="41" fillId="5" borderId="1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4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6" fillId="2" borderId="2" xfId="0" applyFont="1" applyFill="1" applyBorder="1" applyAlignment="1">
      <alignment horizontal="center"/>
    </xf>
    <xf numFmtId="0" fontId="36" fillId="2" borderId="3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GFTRiskProjects/Project%20Library/RISE%20EDL/Data%20Engineering/schemas_extracts_ba/kri_metrics_raw_schema.csv" TargetMode="External"/><Relationship Id="rId2" Type="http://schemas.openxmlformats.org/officeDocument/2006/relationships/externalLinkPath" Target="https://mfc.sharepoint.com/sites/GFTRiskProjects/Project%20Library/RISE%20EDL/Data%20Engineering/schemas_extracts_ba/kri_metrics_raw_schema.csv" TargetMode="External"/><Relationship Id="rId1" Type="http://schemas.openxmlformats.org/officeDocument/2006/relationships/externalLinkPath" Target="/sites/GFTRiskProjects/Project%20Library/RISE%20EDL/Data%20Engineering/schemas_extracts_ba/kri_metrics_raw_schema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abota\OneDrive%20-%20Manulife\Documents\Risk%20Operations\RISE%20EDL\ServiceNow\incidents_schema.csv" TargetMode="External"/><Relationship Id="rId1" Type="http://schemas.openxmlformats.org/officeDocument/2006/relationships/externalLinkPath" Target="file:///C:\Users\olabota\OneDrive%20-%20Manulife\Documents\Risk%20Operations\RISE%20EDL\ServiceNow\incidents_schem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ri_metrics_raw_schema"/>
    </sheetNames>
    <sheetDataSet>
      <sheetData sheetId="0" refreshError="1">
        <row r="2">
          <cell r="A2" t="str">
            <v>batch_id</v>
          </cell>
          <cell r="B2" t="str">
            <v>int</v>
          </cell>
        </row>
        <row r="3">
          <cell r="A3" t="str">
            <v>activation_date</v>
          </cell>
          <cell r="B3" t="str">
            <v>string</v>
          </cell>
        </row>
        <row r="4">
          <cell r="A4" t="str">
            <v>activation_date_ts</v>
          </cell>
          <cell r="B4" t="str">
            <v>timestamp</v>
          </cell>
        </row>
        <row r="5">
          <cell r="A5" t="str">
            <v>activefail</v>
          </cell>
          <cell r="B5" t="str">
            <v>array&lt;string&gt;</v>
          </cell>
        </row>
        <row r="6">
          <cell r="A6" t="str">
            <v>adjusted_target_green_date</v>
          </cell>
          <cell r="B6" t="str">
            <v>string</v>
          </cell>
        </row>
        <row r="7">
          <cell r="A7" t="str">
            <v>adjusted_target_green_date_ts</v>
          </cell>
          <cell r="B7" t="str">
            <v>timestamp</v>
          </cell>
        </row>
        <row r="8">
          <cell r="A8" t="str">
            <v>aggregation_method</v>
          </cell>
          <cell r="B8" t="str">
            <v>string</v>
          </cell>
        </row>
        <row r="9">
          <cell r="A9" t="str">
            <v>aggregation_rules</v>
          </cell>
          <cell r="B9" t="str">
            <v>string</v>
          </cell>
        </row>
        <row r="10">
          <cell r="A10" t="str">
            <v>amber_threshold_max</v>
          </cell>
          <cell r="B10" t="str">
            <v>double</v>
          </cell>
        </row>
        <row r="11">
          <cell r="A11" t="str">
            <v>amber_threshold_min</v>
          </cell>
          <cell r="B11" t="str">
            <v>double</v>
          </cell>
        </row>
        <row r="12">
          <cell r="A12" t="str">
            <v>amlrelated</v>
          </cell>
          <cell r="B12" t="str">
            <v>array&lt;string&gt;</v>
          </cell>
        </row>
        <row r="13">
          <cell r="A13" t="str">
            <v>applicable_industry</v>
          </cell>
          <cell r="B13" t="str">
            <v>array&lt;string&gt;</v>
          </cell>
        </row>
        <row r="14">
          <cell r="A14" t="str">
            <v>approved_date</v>
          </cell>
          <cell r="B14" t="str">
            <v>string</v>
          </cell>
        </row>
        <row r="15">
          <cell r="A15" t="str">
            <v>approved_date_ts</v>
          </cell>
          <cell r="B15" t="str">
            <v>timestamp</v>
          </cell>
        </row>
        <row r="16">
          <cell r="A16" t="str">
            <v>approved_metric_results</v>
          </cell>
          <cell r="B16" t="str">
            <v>array&lt;string&gt;</v>
          </cell>
        </row>
        <row r="17">
          <cell r="A17" t="str">
            <v>average_value</v>
          </cell>
          <cell r="B17" t="str">
            <v>string</v>
          </cell>
        </row>
        <row r="18">
          <cell r="A18" t="str">
            <v>banding_status</v>
          </cell>
          <cell r="B18" t="str">
            <v>array&lt;string&gt;</v>
          </cell>
        </row>
        <row r="19">
          <cell r="A19" t="str">
            <v>benchmarking_rules</v>
          </cell>
          <cell r="B19" t="str">
            <v>string</v>
          </cell>
        </row>
        <row r="20">
          <cell r="A20" t="str">
            <v>breached_kri_action</v>
          </cell>
          <cell r="B20" t="str">
            <v>array&lt;string&gt;</v>
          </cell>
        </row>
        <row r="21">
          <cell r="A21" t="str">
            <v>bucket_variants</v>
          </cell>
          <cell r="B21" t="str">
            <v>string</v>
          </cell>
        </row>
        <row r="22">
          <cell r="A22" t="str">
            <v>buckets</v>
          </cell>
          <cell r="B22" t="str">
            <v>string</v>
          </cell>
        </row>
        <row r="23">
          <cell r="A23" t="str">
            <v>business_unit</v>
          </cell>
          <cell r="B23" t="str">
            <v>array&lt;bigint&gt;</v>
          </cell>
        </row>
        <row r="24">
          <cell r="A24" t="str">
            <v>calculated_tracking_id</v>
          </cell>
          <cell r="B24" t="str">
            <v>string</v>
          </cell>
        </row>
        <row r="25">
          <cell r="A25" t="str">
            <v>calculation_formula</v>
          </cell>
          <cell r="B25" t="str">
            <v>string</v>
          </cell>
        </row>
        <row r="26">
          <cell r="A26" t="str">
            <v>calculation_method</v>
          </cell>
          <cell r="B26" t="str">
            <v>string</v>
          </cell>
        </row>
        <row r="27">
          <cell r="A27" t="str">
            <v>causal_type</v>
          </cell>
          <cell r="B27" t="str">
            <v>array&lt;string&gt;</v>
          </cell>
        </row>
        <row r="28">
          <cell r="A28" t="str">
            <v>collection_frequency</v>
          </cell>
          <cell r="B28" t="str">
            <v>array&lt;string&gt;</v>
          </cell>
        </row>
        <row r="29">
          <cell r="A29" t="str">
            <v>collection_level</v>
          </cell>
          <cell r="B29" t="str">
            <v>array&lt;string&gt;</v>
          </cell>
        </row>
        <row r="30">
          <cell r="A30" t="str">
            <v>comments</v>
          </cell>
          <cell r="B30" t="str">
            <v>array&lt;bigint&gt;</v>
          </cell>
        </row>
        <row r="31">
          <cell r="A31" t="str">
            <v>common_metric</v>
          </cell>
          <cell r="B31" t="str">
            <v>array&lt;string&gt;</v>
          </cell>
        </row>
        <row r="32">
          <cell r="A32" t="str">
            <v>content_id</v>
          </cell>
          <cell r="B32" t="str">
            <v>string</v>
          </cell>
        </row>
        <row r="33">
          <cell r="A33" t="str">
            <v>content_source</v>
          </cell>
          <cell r="B33" t="str">
            <v>array&lt;string&gt;</v>
          </cell>
        </row>
        <row r="34">
          <cell r="A34" t="str">
            <v>content_source_1</v>
          </cell>
          <cell r="B34" t="str">
            <v>array&lt;string&gt;</v>
          </cell>
        </row>
        <row r="35">
          <cell r="A35" t="str">
            <v>copy_of_soxrelated</v>
          </cell>
          <cell r="B35" t="str">
            <v>array&lt;string&gt;</v>
          </cell>
        </row>
        <row r="36">
          <cell r="A36" t="str">
            <v>count_of_metrics</v>
          </cell>
          <cell r="B36" t="str">
            <v>double</v>
          </cell>
        </row>
        <row r="37">
          <cell r="A37" t="str">
            <v>created_from_library</v>
          </cell>
          <cell r="B37" t="str">
            <v>array&lt;string&gt;</v>
          </cell>
        </row>
        <row r="38">
          <cell r="A38" t="str">
            <v>currency_conversion_rule</v>
          </cell>
          <cell r="B38" t="str">
            <v>string</v>
          </cell>
        </row>
        <row r="39">
          <cell r="A39" t="str">
            <v>current_status</v>
          </cell>
          <cell r="B39" t="str">
            <v>array&lt;string&gt;</v>
          </cell>
        </row>
        <row r="40">
          <cell r="A40" t="str">
            <v>current_value</v>
          </cell>
          <cell r="B40" t="str">
            <v>double</v>
          </cell>
        </row>
        <row r="41">
          <cell r="A41" t="str">
            <v>date_metric_changed_to_fail</v>
          </cell>
          <cell r="B41" t="str">
            <v>string</v>
          </cell>
        </row>
        <row r="42">
          <cell r="A42" t="str">
            <v>date_metric_changed_to_fail_ts</v>
          </cell>
          <cell r="B42" t="str">
            <v>timestamp</v>
          </cell>
        </row>
        <row r="43">
          <cell r="A43" t="str">
            <v>default_record_permissions</v>
          </cell>
          <cell r="B43" t="str">
            <v>array&lt;string&gt;</v>
          </cell>
        </row>
        <row r="44">
          <cell r="A44" t="str">
            <v>dependent_metrics</v>
          </cell>
          <cell r="B44" t="str">
            <v>array&lt;string&gt;</v>
          </cell>
        </row>
        <row r="45">
          <cell r="A45" t="str">
            <v>description</v>
          </cell>
          <cell r="B45" t="str">
            <v>string</v>
          </cell>
        </row>
        <row r="46">
          <cell r="A46" t="str">
            <v>dfm_key</v>
          </cell>
          <cell r="B46" t="str">
            <v>string</v>
          </cell>
        </row>
        <row r="47">
          <cell r="A47" t="str">
            <v>ease_of_use</v>
          </cell>
          <cell r="B47" t="str">
            <v>array&lt;string&gt;</v>
          </cell>
        </row>
        <row r="48">
          <cell r="A48" t="str">
            <v>edit_kri</v>
          </cell>
          <cell r="B48" t="str">
            <v>array&lt;string&gt;</v>
          </cell>
        </row>
        <row r="49">
          <cell r="A49" t="str">
            <v>elt_owner</v>
          </cell>
          <cell r="B49" t="str">
            <v>array&lt;string&gt;</v>
          </cell>
        </row>
        <row r="50">
          <cell r="A50" t="str">
            <v>externally_comparable</v>
          </cell>
          <cell r="B50" t="str">
            <v>array&lt;string&gt;</v>
          </cell>
        </row>
        <row r="51">
          <cell r="A51" t="str">
            <v>first_published</v>
          </cell>
          <cell r="B51" t="str">
            <v>string</v>
          </cell>
        </row>
        <row r="52">
          <cell r="A52" t="str">
            <v>first_published_ts</v>
          </cell>
          <cell r="B52" t="str">
            <v>timestamp</v>
          </cell>
        </row>
        <row r="53">
          <cell r="A53" t="str">
            <v>forecast_ceiling</v>
          </cell>
          <cell r="B53" t="str">
            <v>double</v>
          </cell>
        </row>
        <row r="54">
          <cell r="A54" t="str">
            <v>forecast_date_2</v>
          </cell>
          <cell r="B54" t="str">
            <v>string</v>
          </cell>
        </row>
        <row r="55">
          <cell r="A55" t="str">
            <v>forecast_date_2_ts</v>
          </cell>
          <cell r="B55" t="str">
            <v>timestamp</v>
          </cell>
        </row>
        <row r="56">
          <cell r="A56" t="str">
            <v>forecast_date_3</v>
          </cell>
          <cell r="B56" t="str">
            <v>string</v>
          </cell>
        </row>
        <row r="57">
          <cell r="A57" t="str">
            <v>forecast_date_3_ts</v>
          </cell>
          <cell r="B57" t="str">
            <v>timestamp</v>
          </cell>
        </row>
        <row r="58">
          <cell r="A58" t="str">
            <v>forecast_date_4</v>
          </cell>
          <cell r="B58" t="str">
            <v>string</v>
          </cell>
        </row>
        <row r="59">
          <cell r="A59" t="str">
            <v>forecast_date_4_ts</v>
          </cell>
          <cell r="B59" t="str">
            <v>timestamp</v>
          </cell>
        </row>
        <row r="60">
          <cell r="A60" t="str">
            <v>forecast_date_5</v>
          </cell>
          <cell r="B60" t="str">
            <v>string</v>
          </cell>
        </row>
        <row r="61">
          <cell r="A61" t="str">
            <v>forecast_date_5_ts</v>
          </cell>
          <cell r="B61" t="str">
            <v>timestamp</v>
          </cell>
        </row>
        <row r="62">
          <cell r="A62" t="str">
            <v>forecast_floor</v>
          </cell>
          <cell r="B62" t="str">
            <v>double</v>
          </cell>
        </row>
        <row r="63">
          <cell r="A63" t="str">
            <v>forecast_value</v>
          </cell>
          <cell r="B63" t="str">
            <v>double</v>
          </cell>
        </row>
        <row r="64">
          <cell r="A64" t="str">
            <v>forecast_value_2</v>
          </cell>
          <cell r="B64" t="str">
            <v>double</v>
          </cell>
        </row>
        <row r="65">
          <cell r="A65" t="str">
            <v>forecast_value_3</v>
          </cell>
          <cell r="B65" t="str">
            <v>double</v>
          </cell>
        </row>
        <row r="66">
          <cell r="A66" t="str">
            <v>forecast_value_4</v>
          </cell>
          <cell r="B66" t="str">
            <v>double</v>
          </cell>
        </row>
        <row r="67">
          <cell r="A67" t="str">
            <v>forecast_value_5</v>
          </cell>
          <cell r="B67" t="str">
            <v>double</v>
          </cell>
        </row>
        <row r="68">
          <cell r="A68" t="str">
            <v>forecasted_value_2_pure</v>
          </cell>
          <cell r="B68" t="str">
            <v>double</v>
          </cell>
        </row>
        <row r="69">
          <cell r="A69" t="str">
            <v>forecasted_value_3_pure</v>
          </cell>
          <cell r="B69" t="str">
            <v>double</v>
          </cell>
        </row>
        <row r="70">
          <cell r="A70" t="str">
            <v>forecasted_value_4_pure</v>
          </cell>
          <cell r="B70" t="str">
            <v>double</v>
          </cell>
        </row>
        <row r="71">
          <cell r="A71" t="str">
            <v>forecasted_value_5_pure</v>
          </cell>
          <cell r="B71" t="str">
            <v>double</v>
          </cell>
        </row>
        <row r="72">
          <cell r="A72" t="str">
            <v>forecasted_value_pure</v>
          </cell>
          <cell r="B72" t="str">
            <v>double</v>
          </cell>
        </row>
        <row r="73">
          <cell r="A73" t="str">
            <v>format</v>
          </cell>
          <cell r="B73" t="str">
            <v>array&lt;string&gt;</v>
          </cell>
        </row>
        <row r="74">
          <cell r="A74" t="str">
            <v>frequency_metric_changes</v>
          </cell>
          <cell r="B74" t="str">
            <v>array&lt;string&gt;</v>
          </cell>
        </row>
        <row r="75">
          <cell r="A75" t="str">
            <v>green_threshold_max</v>
          </cell>
          <cell r="B75" t="str">
            <v>double</v>
          </cell>
        </row>
        <row r="76">
          <cell r="A76" t="str">
            <v>green_threshold_min</v>
          </cell>
          <cell r="B76" t="str">
            <v>double</v>
          </cell>
        </row>
        <row r="77">
          <cell r="A77" t="str">
            <v>helper_common_unit_name</v>
          </cell>
          <cell r="B77" t="str">
            <v>string</v>
          </cell>
        </row>
        <row r="78">
          <cell r="A78" t="str">
            <v>helper_segment_name</v>
          </cell>
          <cell r="B78" t="str">
            <v>string</v>
          </cell>
        </row>
        <row r="79">
          <cell r="A79" t="str">
            <v>highest_range_of_band</v>
          </cell>
          <cell r="B79" t="str">
            <v>double</v>
          </cell>
        </row>
        <row r="80">
          <cell r="A80" t="str">
            <v>hlp__activation_date_override</v>
          </cell>
          <cell r="B80" t="str">
            <v>string</v>
          </cell>
        </row>
        <row r="81">
          <cell r="A81" t="str">
            <v>hlp__activation_date_override_ts</v>
          </cell>
          <cell r="B81" t="str">
            <v>timestamp</v>
          </cell>
        </row>
        <row r="82">
          <cell r="A82" t="str">
            <v>hlp__approved_date_override</v>
          </cell>
          <cell r="B82" t="str">
            <v>string</v>
          </cell>
        </row>
        <row r="83">
          <cell r="A83" t="str">
            <v>hlp__approved_date_override_ts</v>
          </cell>
          <cell r="B83" t="str">
            <v>timestamp</v>
          </cell>
        </row>
        <row r="84">
          <cell r="A84" t="str">
            <v>hlp__current</v>
          </cell>
          <cell r="B84" t="str">
            <v>double</v>
          </cell>
        </row>
        <row r="85">
          <cell r="A85" t="str">
            <v>hlp__edit_kri_flag</v>
          </cell>
          <cell r="B85" t="str">
            <v>double</v>
          </cell>
        </row>
        <row r="86">
          <cell r="A86" t="str">
            <v>hlp__green_target</v>
          </cell>
          <cell r="B86" t="str">
            <v>double</v>
          </cell>
        </row>
        <row r="87">
          <cell r="A87" t="str">
            <v>hlp__import_flag</v>
          </cell>
          <cell r="B87" t="str">
            <v>double</v>
          </cell>
        </row>
        <row r="88">
          <cell r="A88" t="str">
            <v>hlp__metric_count</v>
          </cell>
          <cell r="B88" t="str">
            <v>double</v>
          </cell>
        </row>
        <row r="89">
          <cell r="A89" t="str">
            <v>hlp__metric_count2</v>
          </cell>
          <cell r="B89" t="str">
            <v>double</v>
          </cell>
        </row>
        <row r="90">
          <cell r="A90" t="str">
            <v>hlp__previous</v>
          </cell>
          <cell r="B90" t="str">
            <v>double</v>
          </cell>
        </row>
        <row r="91">
          <cell r="A91" t="str">
            <v>hlp__submit_flag</v>
          </cell>
          <cell r="B91" t="str">
            <v>double</v>
          </cell>
        </row>
        <row r="92">
          <cell r="A92" t="str">
            <v>hlp__todate</v>
          </cell>
          <cell r="B92" t="str">
            <v>string</v>
          </cell>
        </row>
        <row r="93">
          <cell r="A93" t="str">
            <v>hlp__todate_ts</v>
          </cell>
          <cell r="B93" t="str">
            <v>timestamp</v>
          </cell>
        </row>
        <row r="94">
          <cell r="A94" t="str">
            <v>how_to_calculate</v>
          </cell>
          <cell r="B94" t="str">
            <v>string</v>
          </cell>
        </row>
        <row r="95">
          <cell r="A95" t="str">
            <v>identity_theftrelated</v>
          </cell>
          <cell r="B95" t="str">
            <v>array&lt;string&gt;</v>
          </cell>
        </row>
        <row r="96">
          <cell r="A96" t="str">
            <v>inactivation_date</v>
          </cell>
          <cell r="B96" t="str">
            <v>string</v>
          </cell>
        </row>
        <row r="97">
          <cell r="A97" t="str">
            <v>inactivation_date_ts</v>
          </cell>
          <cell r="B97" t="str">
            <v>timestamp</v>
          </cell>
        </row>
        <row r="98">
          <cell r="A98" t="str">
            <v>inactivation_request_due_date</v>
          </cell>
          <cell r="B98" t="str">
            <v>string</v>
          </cell>
        </row>
        <row r="99">
          <cell r="A99" t="str">
            <v>inactivation_request_due_date_ts</v>
          </cell>
          <cell r="B99" t="str">
            <v>timestamp</v>
          </cell>
        </row>
        <row r="100">
          <cell r="A100" t="str">
            <v>internal_comparability</v>
          </cell>
          <cell r="B100" t="str">
            <v>array&lt;string&gt;</v>
          </cell>
        </row>
        <row r="101">
          <cell r="A101" t="str">
            <v>interpretation_of_trend</v>
          </cell>
          <cell r="B101" t="str">
            <v>string</v>
          </cell>
        </row>
        <row r="102">
          <cell r="A102" t="str">
            <v>know_your_customerrelated</v>
          </cell>
          <cell r="B102" t="str">
            <v>array&lt;string&gt;</v>
          </cell>
        </row>
        <row r="103">
          <cell r="A103" t="str">
            <v>kri_approved</v>
          </cell>
          <cell r="B103" t="str">
            <v>array&lt;string&gt;</v>
          </cell>
        </row>
        <row r="104">
          <cell r="A104" t="str">
            <v>kri_current_value</v>
          </cell>
          <cell r="B104" t="str">
            <v>double</v>
          </cell>
        </row>
        <row r="105">
          <cell r="A105" t="str">
            <v>kri_id</v>
          </cell>
          <cell r="B105" t="str">
            <v>string</v>
          </cell>
        </row>
        <row r="106">
          <cell r="A106" t="str">
            <v>kri_metric_coordinator</v>
          </cell>
          <cell r="B106" t="str">
            <v>array&lt;string&gt;</v>
          </cell>
        </row>
        <row r="107">
          <cell r="A107" t="str">
            <v>kri_metric_owner_delegate</v>
          </cell>
          <cell r="B107" t="str">
            <v>array&lt;string&gt;</v>
          </cell>
        </row>
        <row r="108">
          <cell r="A108" t="str">
            <v>kri_risk_manager</v>
          </cell>
          <cell r="B108" t="str">
            <v>array&lt;string&gt;</v>
          </cell>
        </row>
        <row r="109">
          <cell r="A109" t="str">
            <v>kri_risk_manager_delegate</v>
          </cell>
          <cell r="B109" t="str">
            <v>array&lt;string&gt;</v>
          </cell>
        </row>
        <row r="110">
          <cell r="A110" t="str">
            <v>last_measurement_date</v>
          </cell>
          <cell r="B110" t="str">
            <v>string</v>
          </cell>
        </row>
        <row r="111">
          <cell r="A111" t="str">
            <v>last_updated</v>
          </cell>
          <cell r="B111" t="str">
            <v>string</v>
          </cell>
        </row>
        <row r="112">
          <cell r="A112" t="str">
            <v>last_updated_ts</v>
          </cell>
          <cell r="B112" t="str">
            <v>timestamp</v>
          </cell>
        </row>
        <row r="113">
          <cell r="A113" t="str">
            <v>last_value</v>
          </cell>
          <cell r="B113" t="str">
            <v>double</v>
          </cell>
        </row>
        <row r="114">
          <cell r="A114" t="str">
            <v>last_measurement_date_ts</v>
          </cell>
          <cell r="B114" t="str">
            <v>timestamp</v>
          </cell>
        </row>
        <row r="115">
          <cell r="A115" t="str">
            <v>likely_source_of_information</v>
          </cell>
          <cell r="B115" t="str">
            <v>string</v>
          </cell>
        </row>
        <row r="116">
          <cell r="A116" t="str">
            <v>limitation_of_coverage</v>
          </cell>
          <cell r="B116" t="str">
            <v>string</v>
          </cell>
        </row>
        <row r="117">
          <cell r="A117" t="str">
            <v>lowest_range_of_band</v>
          </cell>
          <cell r="B117" t="str">
            <v>double</v>
          </cell>
        </row>
        <row r="118">
          <cell r="A118" t="str">
            <v>management_reporting_frequency</v>
          </cell>
          <cell r="B118" t="str">
            <v>array&lt;string&gt;</v>
          </cell>
        </row>
        <row r="119">
          <cell r="A119" t="str">
            <v>maximum_value</v>
          </cell>
          <cell r="B119" t="str">
            <v>string</v>
          </cell>
        </row>
        <row r="120">
          <cell r="A120" t="str">
            <v>measurement_frequency</v>
          </cell>
          <cell r="B120" t="str">
            <v>array&lt;string&gt;</v>
          </cell>
        </row>
        <row r="121">
          <cell r="A121" t="str">
            <v>measurement_rule</v>
          </cell>
          <cell r="B121" t="str">
            <v>string</v>
          </cell>
        </row>
        <row r="122">
          <cell r="A122" t="str">
            <v>measurement_type</v>
          </cell>
          <cell r="B122" t="str">
            <v>array&lt;string&gt;</v>
          </cell>
        </row>
        <row r="123">
          <cell r="A123" t="str">
            <v>median_value</v>
          </cell>
          <cell r="B123" t="str">
            <v>string</v>
          </cell>
        </row>
        <row r="124">
          <cell r="A124" t="str">
            <v>metric_id</v>
          </cell>
          <cell r="B124" t="str">
            <v>double</v>
          </cell>
        </row>
        <row r="125">
          <cell r="A125" t="str">
            <v>metric_identifier</v>
          </cell>
          <cell r="B125" t="str">
            <v>array&lt;string&gt;</v>
          </cell>
        </row>
        <row r="126">
          <cell r="A126" t="str">
            <v>metric_is_a_best_practice</v>
          </cell>
          <cell r="B126" t="str">
            <v>array&lt;string&gt;</v>
          </cell>
        </row>
        <row r="127">
          <cell r="A127" t="str">
            <v>metric_name</v>
          </cell>
          <cell r="B127" t="str">
            <v>string</v>
          </cell>
        </row>
        <row r="128">
          <cell r="A128" t="str">
            <v>metric_owner</v>
          </cell>
          <cell r="B128" t="str">
            <v>array&lt;string&gt;</v>
          </cell>
        </row>
        <row r="129">
          <cell r="A129" t="str">
            <v>metric_owner_review_due_date</v>
          </cell>
          <cell r="B129" t="str">
            <v>string</v>
          </cell>
        </row>
        <row r="130">
          <cell r="A130" t="str">
            <v>metric_owner_review_due_date_ts</v>
          </cell>
          <cell r="B130" t="str">
            <v>timestamp</v>
          </cell>
        </row>
        <row r="131">
          <cell r="A131" t="str">
            <v>metric_owner_review_task_description</v>
          </cell>
          <cell r="B131" t="str">
            <v>string</v>
          </cell>
        </row>
        <row r="132">
          <cell r="A132" t="str">
            <v>metric_owner_review_task_resolution</v>
          </cell>
          <cell r="B132" t="str">
            <v>string</v>
          </cell>
        </row>
        <row r="133">
          <cell r="A133" t="str">
            <v>metric_owner_review_task_subject</v>
          </cell>
          <cell r="B133" t="str">
            <v>string</v>
          </cell>
        </row>
        <row r="134">
          <cell r="A134" t="str">
            <v>metric_type</v>
          </cell>
          <cell r="B134" t="str">
            <v>array&lt;string&gt;</v>
          </cell>
        </row>
        <row r="135">
          <cell r="A135" t="str">
            <v>metric_value</v>
          </cell>
          <cell r="B135" t="str">
            <v>array&lt;string&gt;</v>
          </cell>
        </row>
        <row r="136">
          <cell r="A136" t="str">
            <v>metrics_id</v>
          </cell>
          <cell r="B136" t="str">
            <v>double</v>
          </cell>
        </row>
        <row r="137">
          <cell r="A137" t="str">
            <v>metrics_results</v>
          </cell>
          <cell r="B137" t="str">
            <v>array&lt;bigint&gt;</v>
          </cell>
        </row>
        <row r="138">
          <cell r="A138" t="str">
            <v>metrics_workflow_stage</v>
          </cell>
          <cell r="B138" t="str">
            <v>array&lt;string&gt;</v>
          </cell>
        </row>
        <row r="139">
          <cell r="A139" t="str">
            <v>minimum_value</v>
          </cell>
          <cell r="B139" t="str">
            <v>string</v>
          </cell>
        </row>
        <row r="140">
          <cell r="A140" t="str">
            <v>next_measurement_date</v>
          </cell>
          <cell r="B140" t="str">
            <v>string</v>
          </cell>
        </row>
        <row r="141">
          <cell r="A141" t="str">
            <v>next_measurement_date_ts</v>
          </cell>
          <cell r="B141" t="str">
            <v>timestamp</v>
          </cell>
        </row>
        <row r="142">
          <cell r="A142" t="str">
            <v>next_metric_period</v>
          </cell>
          <cell r="B142" t="str">
            <v>double</v>
          </cell>
        </row>
        <row r="143">
          <cell r="A143" t="str">
            <v>number_of_standard_deviations_for_bandin</v>
          </cell>
          <cell r="B143" t="str">
            <v>double</v>
          </cell>
        </row>
        <row r="144">
          <cell r="A144" t="str">
            <v>objective</v>
          </cell>
          <cell r="B144" t="str">
            <v>string</v>
          </cell>
        </row>
        <row r="145">
          <cell r="A145" t="str">
            <v>overdue_indicator</v>
          </cell>
          <cell r="B145" t="str">
            <v>array&lt;string&gt;</v>
          </cell>
        </row>
        <row r="146">
          <cell r="A146" t="str">
            <v>p2g_composite_reporting_identifier</v>
          </cell>
          <cell r="B146" t="str">
            <v>array&lt;string&gt;</v>
          </cell>
        </row>
        <row r="147">
          <cell r="A147" t="str">
            <v>p2g_status</v>
          </cell>
          <cell r="B147" t="str">
            <v>array&lt;string&gt;</v>
          </cell>
        </row>
        <row r="148">
          <cell r="A148" t="str">
            <v>path_to_green_indicator</v>
          </cell>
          <cell r="B148" t="str">
            <v>array&lt;string&gt;</v>
          </cell>
        </row>
        <row r="149">
          <cell r="A149" t="str">
            <v>percentage_change</v>
          </cell>
          <cell r="B149" t="str">
            <v>double</v>
          </cell>
        </row>
        <row r="150">
          <cell r="A150" t="str">
            <v>point_of_departure</v>
          </cell>
          <cell r="B150" t="str">
            <v>string</v>
          </cell>
        </row>
        <row r="151">
          <cell r="A151" t="str">
            <v>possible_to_benchmark</v>
          </cell>
          <cell r="B151" t="str">
            <v>array&lt;string&gt;</v>
          </cell>
        </row>
        <row r="152">
          <cell r="A152" t="str">
            <v>prerequisite_metrics</v>
          </cell>
          <cell r="B152" t="str">
            <v>array&lt;string&gt;</v>
          </cell>
        </row>
        <row r="153">
          <cell r="A153" t="str">
            <v>previous_metric_status</v>
          </cell>
          <cell r="B153" t="str">
            <v>array&lt;string&gt;</v>
          </cell>
        </row>
        <row r="154">
          <cell r="A154" t="str">
            <v>projected_growth</v>
          </cell>
          <cell r="B154" t="str">
            <v>double</v>
          </cell>
        </row>
        <row r="155">
          <cell r="A155" t="str">
            <v>recommended_calculation</v>
          </cell>
          <cell r="B155" t="str">
            <v>string</v>
          </cell>
        </row>
        <row r="156">
          <cell r="A156" t="str">
            <v>red_threshold_max</v>
          </cell>
          <cell r="B156" t="str">
            <v>double</v>
          </cell>
        </row>
        <row r="157">
          <cell r="A157" t="str">
            <v>red_threshold_min</v>
          </cell>
          <cell r="B157" t="str">
            <v>double</v>
          </cell>
        </row>
        <row r="158">
          <cell r="A158" t="str">
            <v>reporting_identifier__business_process</v>
          </cell>
          <cell r="B158" t="str">
            <v>string</v>
          </cell>
        </row>
        <row r="159">
          <cell r="A159" t="str">
            <v>reporting_identifier__common_unit</v>
          </cell>
          <cell r="B159" t="str">
            <v>string</v>
          </cell>
        </row>
        <row r="160">
          <cell r="A160" t="str">
            <v>request_termination_of_metric</v>
          </cell>
          <cell r="B160" t="str">
            <v>array&lt;string&gt;</v>
          </cell>
        </row>
        <row r="161">
          <cell r="A161" t="str">
            <v>risk_apetite</v>
          </cell>
          <cell r="B161" t="str">
            <v>string</v>
          </cell>
        </row>
        <row r="162">
          <cell r="A162" t="str">
            <v>risk_category1</v>
          </cell>
          <cell r="B162" t="str">
            <v>array&lt;bigint&gt;</v>
          </cell>
        </row>
        <row r="163">
          <cell r="A163" t="str">
            <v>risk_manager</v>
          </cell>
          <cell r="B163" t="str">
            <v>array&lt;string&gt;</v>
          </cell>
        </row>
        <row r="164">
          <cell r="A164" t="str">
            <v>risk_manager_comments</v>
          </cell>
          <cell r="B164" t="str">
            <v>string</v>
          </cell>
        </row>
        <row r="165">
          <cell r="A165" t="str">
            <v>risk_manager_inactivation_review_task_de</v>
          </cell>
          <cell r="B165" t="str">
            <v>string</v>
          </cell>
        </row>
        <row r="166">
          <cell r="A166" t="str">
            <v>risk_manager_inactivation_review_task_re</v>
          </cell>
          <cell r="B166" t="str">
            <v>string</v>
          </cell>
        </row>
        <row r="167">
          <cell r="A167" t="str">
            <v>risk_manager_inactivation_review_task_su</v>
          </cell>
          <cell r="B167" t="str">
            <v>string</v>
          </cell>
        </row>
        <row r="168">
          <cell r="A168" t="str">
            <v>risk_manager_review_due_date</v>
          </cell>
          <cell r="B168" t="str">
            <v>string</v>
          </cell>
        </row>
        <row r="169">
          <cell r="A169" t="str">
            <v>risk_manager_review_due_date_ts</v>
          </cell>
          <cell r="B169" t="str">
            <v>timestamp</v>
          </cell>
        </row>
        <row r="170">
          <cell r="A170" t="str">
            <v>risk_manager_review_resolution</v>
          </cell>
          <cell r="B170" t="str">
            <v>string</v>
          </cell>
        </row>
        <row r="171">
          <cell r="A171" t="str">
            <v>risk_manager_review_task_description</v>
          </cell>
          <cell r="B171" t="str">
            <v>string</v>
          </cell>
        </row>
        <row r="172">
          <cell r="A172" t="str">
            <v>risk_manager_review_task_subject</v>
          </cell>
          <cell r="B172" t="str">
            <v>string</v>
          </cell>
        </row>
        <row r="173">
          <cell r="A173" t="str">
            <v>riskbusiness_record_id</v>
          </cell>
          <cell r="B173" t="str">
            <v>string</v>
          </cell>
        </row>
        <row r="174">
          <cell r="A174" t="str">
            <v>scaling_rules</v>
          </cell>
          <cell r="B174" t="str">
            <v>string</v>
          </cell>
        </row>
        <row r="175">
          <cell r="A175" t="str">
            <v>segment</v>
          </cell>
          <cell r="B175" t="str">
            <v>array&lt;bigint&gt;</v>
          </cell>
        </row>
        <row r="176">
          <cell r="A176" t="str">
            <v>slope</v>
          </cell>
          <cell r="B176" t="str">
            <v>string</v>
          </cell>
        </row>
        <row r="177">
          <cell r="A177" t="str">
            <v>source</v>
          </cell>
          <cell r="B177" t="str">
            <v>string</v>
          </cell>
        </row>
        <row r="178">
          <cell r="A178" t="str">
            <v>source_record_date</v>
          </cell>
          <cell r="B178" t="str">
            <v>string</v>
          </cell>
        </row>
        <row r="179">
          <cell r="A179" t="str">
            <v>source_record_date_ts</v>
          </cell>
          <cell r="B179" t="str">
            <v>timestamp</v>
          </cell>
        </row>
        <row r="180">
          <cell r="A180" t="str">
            <v>source_version</v>
          </cell>
          <cell r="B180" t="str">
            <v>string</v>
          </cell>
        </row>
        <row r="181">
          <cell r="A181" t="str">
            <v>soxrelated</v>
          </cell>
          <cell r="B181" t="str">
            <v>array&lt;string&gt;</v>
          </cell>
        </row>
        <row r="182">
          <cell r="A182" t="str">
            <v>standard_deviation</v>
          </cell>
          <cell r="B182" t="str">
            <v>string</v>
          </cell>
        </row>
        <row r="183">
          <cell r="A183" t="str">
            <v>status</v>
          </cell>
          <cell r="B183" t="str">
            <v>array&lt;string&gt;</v>
          </cell>
        </row>
        <row r="184">
          <cell r="A184" t="str">
            <v>submit_kri</v>
          </cell>
          <cell r="B184" t="str">
            <v>array&lt;string&gt;</v>
          </cell>
        </row>
        <row r="185">
          <cell r="A185" t="str">
            <v>supporting_documents</v>
          </cell>
          <cell r="B185" t="str">
            <v>array&lt;bigint&gt;</v>
          </cell>
        </row>
        <row r="186">
          <cell r="A186" t="str">
            <v>target_green_date</v>
          </cell>
          <cell r="B186" t="str">
            <v>string</v>
          </cell>
        </row>
        <row r="187">
          <cell r="A187" t="str">
            <v>target_green_date_ts</v>
          </cell>
          <cell r="B187" t="str">
            <v>timestamp</v>
          </cell>
        </row>
        <row r="188">
          <cell r="A188" t="str">
            <v>termination_justification</v>
          </cell>
          <cell r="B188" t="str">
            <v>string</v>
          </cell>
        </row>
        <row r="189">
          <cell r="A189" t="str">
            <v>threshold_compare_value</v>
          </cell>
          <cell r="B189" t="str">
            <v>double</v>
          </cell>
        </row>
        <row r="190">
          <cell r="A190" t="str">
            <v>threshold_guidance</v>
          </cell>
          <cell r="B190" t="str">
            <v>string</v>
          </cell>
        </row>
        <row r="191">
          <cell r="A191" t="str">
            <v>threshold_status</v>
          </cell>
          <cell r="B191" t="str">
            <v>array&lt;string&gt;</v>
          </cell>
        </row>
        <row r="192">
          <cell r="A192" t="str">
            <v>threshold_type</v>
          </cell>
          <cell r="B192" t="str">
            <v>array&lt;string&gt;</v>
          </cell>
        </row>
        <row r="193">
          <cell r="A193" t="str">
            <v>threshold_value</v>
          </cell>
          <cell r="B193" t="str">
            <v>double</v>
          </cell>
        </row>
        <row r="194">
          <cell r="A194" t="str">
            <v>threshold_value_to_monitor</v>
          </cell>
          <cell r="B194" t="str">
            <v>array&lt;string&gt;</v>
          </cell>
        </row>
        <row r="195">
          <cell r="A195" t="str">
            <v>timing_classification</v>
          </cell>
          <cell r="B195" t="str">
            <v>array&lt;string&gt;</v>
          </cell>
        </row>
        <row r="196">
          <cell r="A196" t="str">
            <v>trend_alignment</v>
          </cell>
          <cell r="B196" t="str">
            <v>array&lt;string&gt;</v>
          </cell>
        </row>
        <row r="197">
          <cell r="A197" t="str">
            <v>trend_analysis</v>
          </cell>
          <cell r="B197" t="str">
            <v>array&lt;string&gt;</v>
          </cell>
        </row>
        <row r="198">
          <cell r="A198" t="str">
            <v>trend_expectation</v>
          </cell>
          <cell r="B198" t="str">
            <v>array&lt;string&gt;</v>
          </cell>
        </row>
        <row r="199">
          <cell r="A199" t="str">
            <v>trend_status</v>
          </cell>
          <cell r="B199" t="str">
            <v>array&lt;string&gt;</v>
          </cell>
        </row>
        <row r="200">
          <cell r="A200" t="str">
            <v>type_of_monitoring</v>
          </cell>
          <cell r="B200" t="str">
            <v>array&lt;string&gt;</v>
          </cell>
        </row>
        <row r="201">
          <cell r="A201" t="str">
            <v>usage_guidance</v>
          </cell>
          <cell r="B201" t="str">
            <v>array&lt;string&gt;</v>
          </cell>
        </row>
        <row r="202">
          <cell r="A202" t="str">
            <v>value_can_be_aggregated</v>
          </cell>
          <cell r="B202" t="str">
            <v>array&lt;string&gt;</v>
          </cell>
        </row>
        <row r="203">
          <cell r="A203" t="str">
            <v>variants</v>
          </cell>
          <cell r="B203" t="str">
            <v>string</v>
          </cell>
        </row>
        <row r="204">
          <cell r="A204" t="str">
            <v>workflowcurrentnode</v>
          </cell>
          <cell r="B204" t="str">
            <v>string</v>
          </cell>
        </row>
        <row r="205">
          <cell r="A205" t="str">
            <v>workflowjobstatus</v>
          </cell>
          <cell r="B205" t="str">
            <v>array&lt;string&gt;</v>
          </cell>
        </row>
        <row r="206">
          <cell r="A206" t="str">
            <v>workflowprocessversion</v>
          </cell>
          <cell r="B206" t="str">
            <v>double</v>
          </cell>
        </row>
        <row r="207">
          <cell r="A207" t="str">
            <v>workstream_name</v>
          </cell>
          <cell r="B207" t="str">
            <v>array&lt;string&gt;</v>
          </cell>
        </row>
        <row r="208">
          <cell r="A208" t="str">
            <v>year_end_target</v>
          </cell>
          <cell r="B208" t="str">
            <v>string</v>
          </cell>
        </row>
        <row r="209">
          <cell r="A209" t="str">
            <v>january</v>
          </cell>
          <cell r="B209" t="str">
            <v>string</v>
          </cell>
        </row>
        <row r="210">
          <cell r="A210" t="str">
            <v>february</v>
          </cell>
          <cell r="B210" t="str">
            <v>string</v>
          </cell>
        </row>
        <row r="211">
          <cell r="A211" t="str">
            <v>march</v>
          </cell>
          <cell r="B211" t="str">
            <v>string</v>
          </cell>
        </row>
        <row r="212">
          <cell r="A212" t="str">
            <v>april</v>
          </cell>
          <cell r="B212" t="str">
            <v>string</v>
          </cell>
        </row>
        <row r="213">
          <cell r="A213" t="str">
            <v>may</v>
          </cell>
          <cell r="B213" t="str">
            <v>string</v>
          </cell>
        </row>
        <row r="214">
          <cell r="A214" t="str">
            <v>june</v>
          </cell>
          <cell r="B214" t="str">
            <v>string</v>
          </cell>
        </row>
        <row r="215">
          <cell r="A215" t="str">
            <v>july</v>
          </cell>
          <cell r="B215" t="str">
            <v>string</v>
          </cell>
        </row>
        <row r="216">
          <cell r="A216" t="str">
            <v>august</v>
          </cell>
          <cell r="B216" t="str">
            <v>string</v>
          </cell>
        </row>
        <row r="217">
          <cell r="A217" t="str">
            <v>september</v>
          </cell>
          <cell r="B217" t="str">
            <v>string</v>
          </cell>
        </row>
        <row r="218">
          <cell r="A218" t="str">
            <v>october</v>
          </cell>
          <cell r="B218" t="str">
            <v>string</v>
          </cell>
        </row>
        <row r="219">
          <cell r="A219" t="str">
            <v>november</v>
          </cell>
          <cell r="B219" t="str">
            <v>string</v>
          </cell>
        </row>
        <row r="220">
          <cell r="A220" t="str">
            <v>december</v>
          </cell>
          <cell r="B220" t="str">
            <v>string</v>
          </cell>
        </row>
        <row r="221">
          <cell r="A221" t="str">
            <v>source_id</v>
          </cell>
          <cell r="B221" t="str">
            <v>int</v>
          </cell>
        </row>
        <row r="222">
          <cell r="A222" t="str">
            <v>job_run_id</v>
          </cell>
          <cell r="B222" t="str">
            <v>string</v>
          </cell>
        </row>
        <row r="223">
          <cell r="A223" t="str">
            <v>service_id</v>
          </cell>
          <cell r="B223" t="str">
            <v>string</v>
          </cell>
        </row>
        <row r="224">
          <cell r="A224" t="str">
            <v>load_dt</v>
          </cell>
          <cell r="B224" t="str">
            <v>date</v>
          </cell>
        </row>
        <row r="225">
          <cell r="A225" t="str">
            <v>kri_number</v>
          </cell>
          <cell r="B225" t="str">
            <v>string</v>
          </cell>
        </row>
        <row r="226">
          <cell r="A226" t="str">
            <v>control_standard</v>
          </cell>
          <cell r="B226" t="str">
            <v>array&lt;bigint&gt;</v>
          </cell>
        </row>
        <row r="227">
          <cell r="A227" t="str">
            <v>secondary_amber_threshold_max</v>
          </cell>
          <cell r="B227" t="str">
            <v>double</v>
          </cell>
        </row>
        <row r="228">
          <cell r="A228" t="str">
            <v>secondary_amber_threshold_min</v>
          </cell>
          <cell r="B228" t="str">
            <v>double</v>
          </cell>
        </row>
        <row r="229">
          <cell r="A229" t="str">
            <v>secondary_green_threshold_max</v>
          </cell>
          <cell r="B229" t="str">
            <v>double</v>
          </cell>
        </row>
        <row r="230">
          <cell r="A230" t="str">
            <v>secondary_green_threshold_min</v>
          </cell>
          <cell r="B230" t="str">
            <v>double</v>
          </cell>
        </row>
        <row r="231">
          <cell r="A231" t="str">
            <v>secondary_red_threshold_max</v>
          </cell>
          <cell r="B231" t="str">
            <v>double</v>
          </cell>
        </row>
        <row r="232">
          <cell r="A232" t="str">
            <v>secondary_red_threshold_min</v>
          </cell>
          <cell r="B232" t="str">
            <v>double</v>
          </cell>
        </row>
        <row r="233">
          <cell r="A233" t="str">
            <v>_3rd_line_audit_permissions_for_non_priv</v>
          </cell>
          <cell r="B233" t="str">
            <v>array&lt;string&gt;</v>
          </cell>
        </row>
        <row r="234">
          <cell r="A234" t="str">
            <v>business_process</v>
          </cell>
          <cell r="B234" t="str">
            <v>array&lt;bigint&gt;</v>
          </cell>
        </row>
        <row r="235">
          <cell r="A235" t="str">
            <v>control_standard_name</v>
          </cell>
          <cell r="B235" t="str">
            <v>string</v>
          </cell>
        </row>
        <row r="236">
          <cell r="A236" t="str">
            <v>assumptions</v>
          </cell>
          <cell r="B236" t="str">
            <v>string</v>
          </cell>
        </row>
        <row r="237">
          <cell r="A237" t="str">
            <v>collection_procedures</v>
          </cell>
          <cell r="B237" t="str">
            <v>string</v>
          </cell>
        </row>
        <row r="238">
          <cell r="A238" t="str">
            <v>control_description</v>
          </cell>
          <cell r="B238" t="str">
            <v>string</v>
          </cell>
        </row>
        <row r="239">
          <cell r="A239" t="str">
            <v>control_objective</v>
          </cell>
          <cell r="B239" t="str">
            <v>string</v>
          </cell>
        </row>
        <row r="240">
          <cell r="A240" t="str">
            <v>denominator</v>
          </cell>
          <cell r="B240" t="str">
            <v>string</v>
          </cell>
        </row>
        <row r="241">
          <cell r="A241" t="str">
            <v>exclusions</v>
          </cell>
          <cell r="B241" t="str">
            <v>string</v>
          </cell>
        </row>
        <row r="242">
          <cell r="A242" t="str">
            <v>risk_appetite_metric</v>
          </cell>
          <cell r="B242" t="str">
            <v>array&lt;string&gt;</v>
          </cell>
        </row>
        <row r="243">
          <cell r="A243" t="str">
            <v>standard</v>
          </cell>
          <cell r="B243" t="str">
            <v>string</v>
          </cell>
        </row>
        <row r="244">
          <cell r="A244" t="str">
            <v>system_of_record</v>
          </cell>
          <cell r="B244" t="str">
            <v>string</v>
          </cell>
        </row>
        <row r="245">
          <cell r="A245" t="str">
            <v>risk</v>
          </cell>
          <cell r="B245" t="str">
            <v>array&lt;bigint&gt;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idents_schema"/>
    </sheetNames>
    <sheetDataSet>
      <sheetData sheetId="0" refreshError="1">
        <row r="2">
          <cell r="A2" t="str">
            <v>batch_id</v>
          </cell>
          <cell r="B2" t="str">
            <v>bigint</v>
          </cell>
        </row>
        <row r="3">
          <cell r="A3" t="str">
            <v>_Root_Cause_Analysis</v>
          </cell>
          <cell r="B3" t="str">
            <v>String</v>
          </cell>
        </row>
        <row r="4">
          <cell r="A4" t="str">
            <v>Account_Response_Code</v>
          </cell>
          <cell r="B4" t="str">
            <v>String</v>
          </cell>
        </row>
        <row r="5">
          <cell r="A5" t="str">
            <v>AccountPolicy_Owner</v>
          </cell>
          <cell r="B5" t="str">
            <v>String</v>
          </cell>
        </row>
        <row r="6">
          <cell r="A6" t="str">
            <v>Actionable_Disbursement_Request_Received</v>
          </cell>
          <cell r="B6" t="str">
            <v>Array[string]</v>
          </cell>
        </row>
        <row r="7">
          <cell r="A7" t="str">
            <v>Actual_Amount_Disbursed</v>
          </cell>
          <cell r="B7" t="str">
            <v>Double</v>
          </cell>
        </row>
        <row r="8">
          <cell r="A8" t="str">
            <v>Additional_Access</v>
          </cell>
          <cell r="B8" t="str">
            <v>Array[string]</v>
          </cell>
        </row>
        <row r="9">
          <cell r="A9" t="str">
            <v>Additional_Cost_to_JH</v>
          </cell>
          <cell r="B9" t="str">
            <v>Double</v>
          </cell>
        </row>
        <row r="10">
          <cell r="A10" t="str">
            <v>Additional_Notifications_Recipients</v>
          </cell>
          <cell r="B10" t="str">
            <v>Array[string]</v>
          </cell>
        </row>
        <row r="11">
          <cell r="A11" t="str">
            <v>Address</v>
          </cell>
          <cell r="B11" t="str">
            <v>String</v>
          </cell>
        </row>
        <row r="12">
          <cell r="A12" t="str">
            <v>Advisor_Contract_Status</v>
          </cell>
          <cell r="B12" t="str">
            <v>Array[string]</v>
          </cell>
        </row>
        <row r="13">
          <cell r="A13" t="str">
            <v>Advisor_LOB</v>
          </cell>
          <cell r="B13" t="str">
            <v>Array[string]</v>
          </cell>
        </row>
        <row r="14">
          <cell r="A14" t="str">
            <v>Agency_Name</v>
          </cell>
          <cell r="B14" t="str">
            <v>Array[bigint]</v>
          </cell>
        </row>
        <row r="15">
          <cell r="A15" t="str">
            <v>Amount_Prevented</v>
          </cell>
          <cell r="B15" t="str">
            <v>Double</v>
          </cell>
        </row>
        <row r="16">
          <cell r="A16" t="str">
            <v>Asia_Privacy_Incident_Reporting</v>
          </cell>
          <cell r="B16" t="str">
            <v>Array[string]</v>
          </cell>
        </row>
        <row r="17">
          <cell r="A17" t="str">
            <v>ATO_Detailed_Root_Cause</v>
          </cell>
          <cell r="B17" t="str">
            <v>Array[string]</v>
          </cell>
        </row>
        <row r="18">
          <cell r="A18" t="str">
            <v>Attorney</v>
          </cell>
          <cell r="B18" t="str">
            <v>String</v>
          </cell>
        </row>
        <row r="19">
          <cell r="A19" t="str">
            <v>BCPIF</v>
          </cell>
          <cell r="B19" t="str">
            <v>Array[string]</v>
          </cell>
        </row>
        <row r="20">
          <cell r="A20" t="str">
            <v>BPR</v>
          </cell>
          <cell r="B20" t="str">
            <v>Array[string]</v>
          </cell>
        </row>
        <row r="21">
          <cell r="A21" t="str">
            <v>Branch_Name</v>
          </cell>
          <cell r="B21" t="str">
            <v>String</v>
          </cell>
        </row>
        <row r="22">
          <cell r="A22" t="str">
            <v>BU_Chief_Compliance_Officer_BU_Privacy_O</v>
          </cell>
          <cell r="B22" t="str">
            <v>Array[bigint]</v>
          </cell>
        </row>
        <row r="23">
          <cell r="A23" t="str">
            <v>Business_Owner</v>
          </cell>
          <cell r="B23" t="str">
            <v>Array[string]</v>
          </cell>
        </row>
        <row r="24">
          <cell r="A24" t="str">
            <v>Business_Process</v>
          </cell>
          <cell r="B24" t="str">
            <v>Array[bigint]</v>
          </cell>
        </row>
        <row r="25">
          <cell r="A25" t="str">
            <v>Business_Unit_Approver</v>
          </cell>
          <cell r="B25" t="str">
            <v>Array[string]</v>
          </cell>
        </row>
        <row r="26">
          <cell r="A26" t="str">
            <v>Business_Unit_Approver_Comments</v>
          </cell>
          <cell r="B26" t="str">
            <v>String</v>
          </cell>
        </row>
        <row r="27">
          <cell r="A27" t="str">
            <v>Business_Unit_Approver_Review_Status</v>
          </cell>
          <cell r="B27" t="str">
            <v>Array[string]</v>
          </cell>
        </row>
        <row r="28">
          <cell r="A28" t="str">
            <v>Business_Unit_Holdings</v>
          </cell>
          <cell r="B28" t="str">
            <v>Array[bigint]</v>
          </cell>
        </row>
        <row r="29">
          <cell r="A29" t="str">
            <v>CAP_count</v>
          </cell>
          <cell r="B29" t="str">
            <v>Bigint</v>
          </cell>
        </row>
        <row r="30">
          <cell r="A30" t="str">
            <v>Case_Comments</v>
          </cell>
          <cell r="B30" t="str">
            <v>String</v>
          </cell>
        </row>
        <row r="31">
          <cell r="A31" t="str">
            <v>CEO_Memo_Status_Update_if_any</v>
          </cell>
          <cell r="B31" t="str">
            <v>String</v>
          </cell>
        </row>
        <row r="32">
          <cell r="A32" t="str">
            <v>CFO_Approver</v>
          </cell>
          <cell r="B32" t="str">
            <v>Array[string]</v>
          </cell>
        </row>
        <row r="33">
          <cell r="A33" t="str">
            <v>CFO_Approver_Comments</v>
          </cell>
          <cell r="B33" t="str">
            <v>String</v>
          </cell>
        </row>
        <row r="34">
          <cell r="A34" t="str">
            <v>CFO_Awaiting_Review_Date_Helper</v>
          </cell>
          <cell r="B34" t="str">
            <v>String</v>
          </cell>
        </row>
        <row r="35">
          <cell r="A35" t="str">
            <v>CFO_Awaiting_Review_Date_Helper_TS</v>
          </cell>
          <cell r="B35" t="str">
            <v>Timestamp</v>
          </cell>
        </row>
        <row r="36">
          <cell r="A36" t="str">
            <v>Channel</v>
          </cell>
          <cell r="B36" t="str">
            <v>Array[string]</v>
          </cell>
        </row>
        <row r="37">
          <cell r="A37" t="str">
            <v>Charged_Back_Total</v>
          </cell>
          <cell r="B37" t="str">
            <v>Double</v>
          </cell>
        </row>
        <row r="38">
          <cell r="A38" t="str">
            <v>Check_sent_to_Address_of_Record</v>
          </cell>
          <cell r="B38" t="str">
            <v>Array[string]</v>
          </cell>
        </row>
        <row r="39">
          <cell r="A39" t="str">
            <v>City</v>
          </cell>
          <cell r="B39" t="str">
            <v>String</v>
          </cell>
        </row>
        <row r="40">
          <cell r="A40" t="str">
            <v>Claim_Paid</v>
          </cell>
          <cell r="B40" t="str">
            <v>Array[string]</v>
          </cell>
        </row>
        <row r="41">
          <cell r="A41" t="str">
            <v>Client_Age</v>
          </cell>
          <cell r="B41" t="str">
            <v>String</v>
          </cell>
        </row>
        <row r="42">
          <cell r="A42" t="str">
            <v>Client_Age_TS</v>
          </cell>
          <cell r="B42" t="str">
            <v>Timestamp</v>
          </cell>
        </row>
        <row r="43">
          <cell r="A43" t="str">
            <v>Comments_Section</v>
          </cell>
          <cell r="B43" t="str">
            <v>Array[bigint]</v>
          </cell>
        </row>
        <row r="44">
          <cell r="A44" t="str">
            <v>Contact_Information</v>
          </cell>
          <cell r="B44" t="str">
            <v>Array[bigint]</v>
          </cell>
        </row>
        <row r="45">
          <cell r="A45" t="str">
            <v>Context_and_Background_of_the_Incident</v>
          </cell>
          <cell r="B45" t="str">
            <v>String</v>
          </cell>
        </row>
        <row r="46">
          <cell r="A46" t="str">
            <v>Contract_Type</v>
          </cell>
          <cell r="B46" t="str">
            <v>Array[string]</v>
          </cell>
        </row>
        <row r="47">
          <cell r="A47" t="str">
            <v>Copy_of_ORM__2nd_Line_READ_Permission__R</v>
          </cell>
          <cell r="B47" t="str">
            <v>Array[string]</v>
          </cell>
        </row>
        <row r="48">
          <cell r="A48" t="str">
            <v>Copy_of_ORM__Divisional_Record_Permissio</v>
          </cell>
          <cell r="B48" t="str">
            <v>Array[string]</v>
          </cell>
        </row>
        <row r="49">
          <cell r="A49" t="str">
            <v>Copy_of_ORM__Segment_Record_Per_1</v>
          </cell>
          <cell r="B49" t="str">
            <v>Array[string]</v>
          </cell>
        </row>
        <row r="50">
          <cell r="A50" t="str">
            <v>Corporation_Name</v>
          </cell>
          <cell r="B50" t="str">
            <v>String</v>
          </cell>
        </row>
        <row r="51">
          <cell r="A51" t="str">
            <v>Corrective_Action_Plans</v>
          </cell>
          <cell r="B51" t="str">
            <v>Array[bigint]</v>
          </cell>
        </row>
        <row r="52">
          <cell r="A52" t="str">
            <v>Country</v>
          </cell>
          <cell r="B52" t="str">
            <v>Array[string]</v>
          </cell>
        </row>
        <row r="53">
          <cell r="A53" t="str">
            <v>Create_Reportable_Event</v>
          </cell>
          <cell r="B53" t="str">
            <v>Array[string]</v>
          </cell>
        </row>
        <row r="54">
          <cell r="A54" t="str">
            <v>Created_by_Pindrop_</v>
          </cell>
          <cell r="B54" t="str">
            <v>Array[string]</v>
          </cell>
        </row>
        <row r="55">
          <cell r="A55" t="str">
            <v>CRO_Approver</v>
          </cell>
          <cell r="B55" t="str">
            <v>Array[string]</v>
          </cell>
        </row>
        <row r="56">
          <cell r="A56" t="str">
            <v>CRO_Approver_Comments</v>
          </cell>
          <cell r="B56" t="str">
            <v>String</v>
          </cell>
        </row>
        <row r="57">
          <cell r="A57" t="str">
            <v>CRO_Awaiting_Review_Date_Helper</v>
          </cell>
          <cell r="B57" t="str">
            <v>String</v>
          </cell>
        </row>
        <row r="58">
          <cell r="A58" t="str">
            <v>CRO_Awaiting_Review_Date_Helper_TS</v>
          </cell>
          <cell r="B58" t="str">
            <v>Timestamp</v>
          </cell>
        </row>
        <row r="59">
          <cell r="A59" t="str">
            <v>CROCFO_Approval_Status_Update</v>
          </cell>
          <cell r="B59" t="str">
            <v>String</v>
          </cell>
        </row>
        <row r="60">
          <cell r="A60" t="str">
            <v>Customer_Response_Code</v>
          </cell>
          <cell r="B60" t="str">
            <v>String</v>
          </cell>
        </row>
        <row r="61">
          <cell r="A61" t="str">
            <v>Date_Completed_for_Compliance</v>
          </cell>
          <cell r="B61" t="str">
            <v>String</v>
          </cell>
        </row>
        <row r="62">
          <cell r="A62" t="str">
            <v>Date_Completed_for_Compliance_TS</v>
          </cell>
          <cell r="B62" t="str">
            <v>Timestamp</v>
          </cell>
        </row>
        <row r="63">
          <cell r="A63" t="str">
            <v>Date_Completed_for_IS</v>
          </cell>
          <cell r="B63" t="str">
            <v>String</v>
          </cell>
        </row>
        <row r="64">
          <cell r="A64" t="str">
            <v>Date_Completed_for_IS_TS</v>
          </cell>
          <cell r="B64" t="str">
            <v>Timestamp</v>
          </cell>
        </row>
        <row r="65">
          <cell r="A65" t="str">
            <v>Date_Completed_for_Operations</v>
          </cell>
          <cell r="B65" t="str">
            <v>String</v>
          </cell>
        </row>
        <row r="66">
          <cell r="A66" t="str">
            <v>Date_Completed_for_Operations_TS</v>
          </cell>
          <cell r="B66" t="str">
            <v>Timestamp</v>
          </cell>
        </row>
        <row r="67">
          <cell r="A67" t="str">
            <v>Date_Created</v>
          </cell>
          <cell r="B67" t="str">
            <v>String</v>
          </cell>
        </row>
        <row r="68">
          <cell r="A68" t="str">
            <v>Date_Created_TS</v>
          </cell>
          <cell r="B68" t="str">
            <v>Timestamp</v>
          </cell>
        </row>
        <row r="69">
          <cell r="A69" t="str">
            <v>Date_Forward_to_Inv_Services</v>
          </cell>
          <cell r="B69" t="str">
            <v>String</v>
          </cell>
        </row>
        <row r="70">
          <cell r="A70" t="str">
            <v>Date_Forward_to_Inv_Services_TS</v>
          </cell>
          <cell r="B70" t="str">
            <v>Timestamp</v>
          </cell>
        </row>
        <row r="71">
          <cell r="A71" t="str">
            <v>Date_of_Loss</v>
          </cell>
          <cell r="B71" t="str">
            <v>String</v>
          </cell>
        </row>
        <row r="72">
          <cell r="A72" t="str">
            <v>Date_of_Loss_TS</v>
          </cell>
          <cell r="B72" t="str">
            <v>Timestamp</v>
          </cell>
        </row>
        <row r="73">
          <cell r="A73" t="str">
            <v>Date_on_Hold</v>
          </cell>
          <cell r="B73" t="str">
            <v>String</v>
          </cell>
        </row>
        <row r="74">
          <cell r="A74" t="str">
            <v>Date_on_Hold_TS</v>
          </cell>
          <cell r="B74" t="str">
            <v>Timestamp</v>
          </cell>
        </row>
        <row r="75">
          <cell r="A75" t="str">
            <v>Date_Referred_to_AFA</v>
          </cell>
          <cell r="B75" t="str">
            <v>String</v>
          </cell>
        </row>
        <row r="76">
          <cell r="A76" t="str">
            <v>Date_Referred_to_AFA_TS</v>
          </cell>
          <cell r="B76" t="str">
            <v>Timestamp</v>
          </cell>
        </row>
        <row r="77">
          <cell r="A77" t="str">
            <v>Date_Released</v>
          </cell>
          <cell r="B77" t="str">
            <v>String</v>
          </cell>
        </row>
        <row r="78">
          <cell r="A78" t="str">
            <v>Date_Released_TS</v>
          </cell>
          <cell r="B78" t="str">
            <v>Timestamp</v>
          </cell>
        </row>
        <row r="79">
          <cell r="A79" t="str">
            <v>Date_Reported_to_Account_Search</v>
          </cell>
          <cell r="B79" t="str">
            <v>String</v>
          </cell>
        </row>
        <row r="80">
          <cell r="A80" t="str">
            <v>Date_Reported_to_Account_Search_TS</v>
          </cell>
          <cell r="B80" t="str">
            <v>Timestamp</v>
          </cell>
        </row>
        <row r="81">
          <cell r="A81" t="str">
            <v>Date_Reported_to_AML</v>
          </cell>
          <cell r="B81" t="str">
            <v>String</v>
          </cell>
        </row>
        <row r="82">
          <cell r="A82" t="str">
            <v>Date_Reported_to_AML_TS</v>
          </cell>
          <cell r="B82" t="str">
            <v>Timestamp</v>
          </cell>
        </row>
        <row r="83">
          <cell r="A83" t="str">
            <v>Date_Reported_to_Compliance</v>
          </cell>
          <cell r="B83" t="str">
            <v>String</v>
          </cell>
        </row>
        <row r="84">
          <cell r="A84" t="str">
            <v>Date_Reported_to_Compliance_TS</v>
          </cell>
          <cell r="B84" t="str">
            <v>Timestamp</v>
          </cell>
        </row>
        <row r="85">
          <cell r="A85" t="str">
            <v>Date_Reported_to_DOI__Regulator</v>
          </cell>
          <cell r="B85" t="str">
            <v>String</v>
          </cell>
        </row>
        <row r="86">
          <cell r="A86" t="str">
            <v>Date_Reported_to_DOI__Regulator_TS</v>
          </cell>
          <cell r="B86" t="str">
            <v>Timestamp</v>
          </cell>
        </row>
        <row r="87">
          <cell r="A87" t="str">
            <v>Date_Reported_to_Privacy_Coordinator</v>
          </cell>
          <cell r="B87" t="str">
            <v>String</v>
          </cell>
        </row>
        <row r="88">
          <cell r="A88" t="str">
            <v>Date_Reported_to_Privacy_Coordinator_TS</v>
          </cell>
          <cell r="B88" t="str">
            <v>Timestamp</v>
          </cell>
        </row>
        <row r="89">
          <cell r="A89" t="str">
            <v>Date_Reported_to_RPS_Legal</v>
          </cell>
          <cell r="B89" t="str">
            <v>String</v>
          </cell>
        </row>
        <row r="90">
          <cell r="A90" t="str">
            <v>Date_Reported_to_RPS_Legal_TS</v>
          </cell>
          <cell r="B90" t="str">
            <v>Timestamp</v>
          </cell>
        </row>
        <row r="91">
          <cell r="A91" t="str">
            <v>Date_Suspected_Fraud_Detected</v>
          </cell>
          <cell r="B91" t="str">
            <v>String</v>
          </cell>
        </row>
        <row r="92">
          <cell r="A92" t="str">
            <v>Date_Suspected_Fraud_Detected_TS</v>
          </cell>
          <cell r="B92" t="str">
            <v>Timestamp</v>
          </cell>
        </row>
        <row r="93">
          <cell r="A93" t="str">
            <v>DateTime_Closed</v>
          </cell>
          <cell r="B93" t="str">
            <v>String</v>
          </cell>
        </row>
        <row r="94">
          <cell r="A94" t="str">
            <v>DateTime_Closed_TS</v>
          </cell>
          <cell r="B94" t="str">
            <v>Timestamp</v>
          </cell>
        </row>
        <row r="95">
          <cell r="A95" t="str">
            <v>DateTime_Discovered</v>
          </cell>
          <cell r="B95" t="str">
            <v>String</v>
          </cell>
        </row>
        <row r="96">
          <cell r="A96" t="str">
            <v>DateTime_Discovered_TS</v>
          </cell>
          <cell r="B96" t="str">
            <v>Timestamp</v>
          </cell>
        </row>
        <row r="97">
          <cell r="A97" t="str">
            <v>DateTime_Occurred</v>
          </cell>
          <cell r="B97" t="str">
            <v>String</v>
          </cell>
        </row>
        <row r="98">
          <cell r="A98" t="str">
            <v>DateTime_Occurred_End</v>
          </cell>
          <cell r="B98" t="str">
            <v>String</v>
          </cell>
        </row>
        <row r="99">
          <cell r="A99" t="str">
            <v>DateTime_Occurred_End_TS</v>
          </cell>
          <cell r="B99" t="str">
            <v>Timestamp</v>
          </cell>
        </row>
        <row r="100">
          <cell r="A100" t="str">
            <v>DateTime_Occurred_TS</v>
          </cell>
          <cell r="B100" t="str">
            <v>Timestamp</v>
          </cell>
        </row>
        <row r="101">
          <cell r="A101" t="str">
            <v>DateTime_Reported</v>
          </cell>
          <cell r="B101" t="str">
            <v>String</v>
          </cell>
        </row>
        <row r="102">
          <cell r="A102" t="str">
            <v>DateTime_Reported_TS</v>
          </cell>
          <cell r="B102" t="str">
            <v>Timestamp</v>
          </cell>
        </row>
        <row r="103">
          <cell r="A103" t="str">
            <v>Days_on_Legal_Hold</v>
          </cell>
          <cell r="B103" t="str">
            <v>Bigint</v>
          </cell>
        </row>
        <row r="104">
          <cell r="A104" t="str">
            <v>Days_Open</v>
          </cell>
          <cell r="B104" t="str">
            <v>Bigint</v>
          </cell>
        </row>
        <row r="105">
          <cell r="A105" t="str">
            <v>Days_OpenReopen</v>
          </cell>
          <cell r="B105" t="str">
            <v>Bigint</v>
          </cell>
        </row>
        <row r="106">
          <cell r="A106" t="str">
            <v>Days_Since_Last_Updated</v>
          </cell>
          <cell r="B106" t="str">
            <v>Bigint</v>
          </cell>
        </row>
        <row r="107">
          <cell r="A107" t="str">
            <v>Default_Record_Permissions</v>
          </cell>
          <cell r="B107" t="str">
            <v>Array[string]</v>
          </cell>
        </row>
        <row r="108">
          <cell r="A108" t="str">
            <v>Detection_Failures</v>
          </cell>
          <cell r="B108" t="str">
            <v>Array[string]</v>
          </cell>
        </row>
        <row r="109">
          <cell r="A109" t="str">
            <v>Detection_Method</v>
          </cell>
          <cell r="B109" t="str">
            <v>Array[string]</v>
          </cell>
        </row>
        <row r="110">
          <cell r="A110" t="str">
            <v>Disability_Appeal</v>
          </cell>
          <cell r="B110" t="str">
            <v>Array[string]</v>
          </cell>
        </row>
        <row r="111">
          <cell r="A111" t="str">
            <v>Disbursement_Type</v>
          </cell>
          <cell r="B111" t="str">
            <v>Array[string]</v>
          </cell>
        </row>
        <row r="112">
          <cell r="A112" t="str">
            <v>Does_this_incident_impact_a_system</v>
          </cell>
          <cell r="B112" t="str">
            <v>Array[string]</v>
          </cell>
        </row>
        <row r="113">
          <cell r="A113" t="str">
            <v>Does_this_incident_involve_EU_data</v>
          </cell>
          <cell r="B113" t="str">
            <v>Array[string]</v>
          </cell>
        </row>
        <row r="114">
          <cell r="A114" t="str">
            <v>Draft_Referral_Language</v>
          </cell>
          <cell r="B114" t="str">
            <v>String</v>
          </cell>
        </row>
        <row r="115">
          <cell r="A115" t="str">
            <v>Due_Date</v>
          </cell>
          <cell r="B115" t="str">
            <v>String</v>
          </cell>
        </row>
        <row r="116">
          <cell r="A116" t="str">
            <v>Due_Date_TS</v>
          </cell>
          <cell r="B116" t="str">
            <v>Timestamp</v>
          </cell>
        </row>
        <row r="117">
          <cell r="A117" t="str">
            <v>Employee</v>
          </cell>
          <cell r="B117" t="str">
            <v>String</v>
          </cell>
        </row>
        <row r="118">
          <cell r="A118" t="str">
            <v>Employee_Flag</v>
          </cell>
          <cell r="B118" t="str">
            <v>Array[string]</v>
          </cell>
        </row>
        <row r="119">
          <cell r="A119" t="str">
            <v>Employee_ID</v>
          </cell>
          <cell r="B119" t="str">
            <v>String</v>
          </cell>
        </row>
        <row r="120">
          <cell r="A120" t="str">
            <v>Expected_Additional_Recovery_Amount_CAD</v>
          </cell>
          <cell r="B120" t="str">
            <v>Double</v>
          </cell>
        </row>
        <row r="121">
          <cell r="A121" t="str">
            <v>Expected_Additional_Recovery_Amount_Loca</v>
          </cell>
          <cell r="B121" t="str">
            <v>Double</v>
          </cell>
        </row>
        <row r="122">
          <cell r="A122" t="str">
            <v>Expense_Total</v>
          </cell>
          <cell r="B122" t="str">
            <v>Double</v>
          </cell>
        </row>
        <row r="123">
          <cell r="A123" t="str">
            <v>Fees__Withholdings</v>
          </cell>
          <cell r="B123" t="str">
            <v>Double</v>
          </cell>
        </row>
        <row r="124">
          <cell r="A124" t="str">
            <v>File_Location</v>
          </cell>
          <cell r="B124" t="str">
            <v>String</v>
          </cell>
        </row>
        <row r="125">
          <cell r="A125" t="str">
            <v>Filed_Date</v>
          </cell>
          <cell r="B125" t="str">
            <v>String</v>
          </cell>
        </row>
        <row r="126">
          <cell r="A126" t="str">
            <v>Filed_Date_TS</v>
          </cell>
          <cell r="B126" t="str">
            <v>Timestamp</v>
          </cell>
        </row>
        <row r="127">
          <cell r="A127" t="str">
            <v>Final_Loss</v>
          </cell>
          <cell r="B127" t="str">
            <v>Double</v>
          </cell>
        </row>
        <row r="128">
          <cell r="A128" t="str">
            <v>Firm</v>
          </cell>
          <cell r="B128" t="str">
            <v>Array[string]</v>
          </cell>
        </row>
        <row r="129">
          <cell r="A129" t="str">
            <v>Firm_Name_MGANAC</v>
          </cell>
          <cell r="B129" t="str">
            <v>String</v>
          </cell>
        </row>
        <row r="130">
          <cell r="A130" t="str">
            <v>FirstParty_Fraud</v>
          </cell>
          <cell r="B130" t="str">
            <v>Array[string]</v>
          </cell>
        </row>
        <row r="131">
          <cell r="A131" t="str">
            <v>Forwarded_to_Inv_Services</v>
          </cell>
          <cell r="B131" t="str">
            <v>Array[string]</v>
          </cell>
        </row>
        <row r="132">
          <cell r="A132" t="str">
            <v>Fraud_Confirmed_by_Account_Owner</v>
          </cell>
          <cell r="B132" t="str">
            <v>Arraytpe(String)</v>
          </cell>
        </row>
        <row r="133">
          <cell r="A133" t="str">
            <v>Fraud_Location_Outside_US</v>
          </cell>
          <cell r="B133" t="str">
            <v>String</v>
          </cell>
        </row>
        <row r="134">
          <cell r="A134" t="str">
            <v>Fraud_Loss_Amount</v>
          </cell>
          <cell r="B134" t="str">
            <v>String</v>
          </cell>
        </row>
        <row r="135">
          <cell r="A135" t="str">
            <v>Fraud_Referral_Comments</v>
          </cell>
          <cell r="B135" t="str">
            <v>String</v>
          </cell>
        </row>
        <row r="136">
          <cell r="A136" t="str">
            <v>Fraud_Reported_By</v>
          </cell>
          <cell r="B136" t="str">
            <v>String</v>
          </cell>
        </row>
        <row r="137">
          <cell r="A137" t="str">
            <v>Fraud_StateProvince</v>
          </cell>
          <cell r="B137" t="str">
            <v>Array[string]</v>
          </cell>
        </row>
        <row r="138">
          <cell r="A138" t="str">
            <v>Fraud_Victim</v>
          </cell>
          <cell r="B138" t="str">
            <v>Array[string]</v>
          </cell>
        </row>
        <row r="139">
          <cell r="A139" t="str">
            <v>Fund_Code</v>
          </cell>
          <cell r="B139" t="str">
            <v>String</v>
          </cell>
        </row>
        <row r="140">
          <cell r="A140" t="str">
            <v>Fund_Name</v>
          </cell>
          <cell r="B140" t="str">
            <v>String</v>
          </cell>
        </row>
        <row r="141">
          <cell r="A141" t="str">
            <v>Global_Technology_Risk_Governance_Email_</v>
          </cell>
          <cell r="B141" t="str">
            <v>Array[string]</v>
          </cell>
        </row>
        <row r="142">
          <cell r="A142" t="str">
            <v>Gross_Amount_Requested</v>
          </cell>
          <cell r="B142" t="str">
            <v>Double</v>
          </cell>
        </row>
        <row r="143">
          <cell r="A143" t="str">
            <v>Gross_Loss_CAD</v>
          </cell>
          <cell r="B143" t="str">
            <v>Double</v>
          </cell>
        </row>
        <row r="144">
          <cell r="A144" t="str">
            <v>Gross_Loss_In_Local_Currency</v>
          </cell>
          <cell r="B144" t="str">
            <v>Double</v>
          </cell>
        </row>
        <row r="145">
          <cell r="A145" t="str">
            <v>Health_Insurance_Records_Received</v>
          </cell>
          <cell r="B145" t="str">
            <v>Array[string]</v>
          </cell>
        </row>
        <row r="146">
          <cell r="A146" t="str">
            <v>Health_Insurance_Records_Requested</v>
          </cell>
          <cell r="B146" t="str">
            <v>Array[string]</v>
          </cell>
        </row>
        <row r="147">
          <cell r="A147" t="str">
            <v>Helper__SNOW_Category</v>
          </cell>
          <cell r="B147" t="str">
            <v>String</v>
          </cell>
        </row>
        <row r="148">
          <cell r="A148" t="str">
            <v>HelperMigrate_Incident</v>
          </cell>
          <cell r="B148" t="str">
            <v>Array[string]</v>
          </cell>
        </row>
        <row r="149">
          <cell r="A149" t="str">
            <v>HelperReportable_Event_Created_Date_via_</v>
          </cell>
          <cell r="B149" t="str">
            <v>String</v>
          </cell>
        </row>
        <row r="150">
          <cell r="A150" t="str">
            <v>HelperReportable_Event_Created_Date_via__TS</v>
          </cell>
          <cell r="B150" t="str">
            <v>Timestamp</v>
          </cell>
        </row>
        <row r="151">
          <cell r="A151" t="str">
            <v>How_Authenticated_</v>
          </cell>
          <cell r="B151" t="str">
            <v>Array[string]</v>
          </cell>
        </row>
        <row r="152">
          <cell r="A152" t="str">
            <v>How_Did_Fraudster_Present_Themselves</v>
          </cell>
          <cell r="B152" t="str">
            <v>Array[string]</v>
          </cell>
        </row>
        <row r="153">
          <cell r="A153" t="str">
            <v>IDENT</v>
          </cell>
          <cell r="B153" t="str">
            <v>String</v>
          </cell>
        </row>
        <row r="154">
          <cell r="A154" t="str">
            <v>IM_Market_Conduct__Investigations_Attach</v>
          </cell>
          <cell r="B154" t="str">
            <v>Array[bigint]</v>
          </cell>
        </row>
        <row r="155">
          <cell r="A155" t="str">
            <v>IM_Market_ConductInvestigations</v>
          </cell>
          <cell r="B155" t="str">
            <v>Array[bigint]</v>
          </cell>
        </row>
        <row r="156">
          <cell r="A156" t="str">
            <v>Impacted_Child_Business_Process</v>
          </cell>
          <cell r="B156" t="str">
            <v>Array[bigint]</v>
          </cell>
        </row>
        <row r="157">
          <cell r="A157" t="str">
            <v>Impacted_Common_Unit</v>
          </cell>
          <cell r="B157" t="str">
            <v>Array[bigint]</v>
          </cell>
        </row>
        <row r="158">
          <cell r="A158" t="str">
            <v>Incident_Category</v>
          </cell>
          <cell r="B158" t="str">
            <v>Array[string]</v>
          </cell>
        </row>
        <row r="159">
          <cell r="A159" t="str">
            <v>Incident_Creator</v>
          </cell>
          <cell r="B159" t="str">
            <v>Array[string]</v>
          </cell>
        </row>
        <row r="160">
          <cell r="A160" t="str">
            <v>Incident_Details</v>
          </cell>
          <cell r="B160" t="str">
            <v>String</v>
          </cell>
        </row>
        <row r="161">
          <cell r="A161" t="str">
            <v>Incident_ID</v>
          </cell>
          <cell r="B161" t="str">
            <v>Bigint</v>
          </cell>
        </row>
        <row r="162">
          <cell r="A162" t="str">
            <v>Incident_Impact</v>
          </cell>
          <cell r="B162" t="str">
            <v>Array[string]</v>
          </cell>
        </row>
        <row r="163">
          <cell r="A163" t="str">
            <v>Incident_Location</v>
          </cell>
          <cell r="B163" t="str">
            <v>String</v>
          </cell>
        </row>
        <row r="164">
          <cell r="A164" t="str">
            <v>Incident_Manager_Primary_Investigator</v>
          </cell>
          <cell r="B164" t="str">
            <v>Array[string]</v>
          </cell>
        </row>
        <row r="165">
          <cell r="A165" t="str">
            <v>Incident_Source</v>
          </cell>
          <cell r="B165" t="str">
            <v>Array[string]</v>
          </cell>
        </row>
        <row r="166">
          <cell r="A166" t="str">
            <v>Incident_Subcategory</v>
          </cell>
          <cell r="B166" t="str">
            <v>Array[string]</v>
          </cell>
        </row>
        <row r="167">
          <cell r="A167" t="str">
            <v>Incident_Summary</v>
          </cell>
          <cell r="B167" t="str">
            <v>String</v>
          </cell>
        </row>
        <row r="168">
          <cell r="A168" t="str">
            <v>Incident_Tasks</v>
          </cell>
          <cell r="B168" t="str">
            <v>Array[bigint]</v>
          </cell>
        </row>
        <row r="169">
          <cell r="A169" t="str">
            <v>Incident_Title</v>
          </cell>
          <cell r="B169" t="str">
            <v>String</v>
          </cell>
        </row>
        <row r="170">
          <cell r="A170" t="str">
            <v>Information_Classification</v>
          </cell>
          <cell r="B170" t="str">
            <v>Array[string]</v>
          </cell>
        </row>
        <row r="171">
          <cell r="A171" t="str">
            <v>Investigation_Purpose</v>
          </cell>
          <cell r="B171" t="str">
            <v>String</v>
          </cell>
        </row>
        <row r="172">
          <cell r="A172" t="str">
            <v>Investigation_Required_</v>
          </cell>
          <cell r="B172" t="str">
            <v>Array[string]</v>
          </cell>
        </row>
        <row r="173">
          <cell r="A173" t="str">
            <v>Investigative_Services_Email_Box</v>
          </cell>
          <cell r="B173" t="str">
            <v>Array[string]</v>
          </cell>
        </row>
        <row r="174">
          <cell r="A174" t="str">
            <v>Investigative_Services_Findings</v>
          </cell>
          <cell r="B174" t="str">
            <v>String</v>
          </cell>
        </row>
        <row r="175">
          <cell r="A175" t="str">
            <v>Investigative_Services_of_Method_of_Rece</v>
          </cell>
          <cell r="B175" t="str">
            <v>Array[string]</v>
          </cell>
        </row>
        <row r="176">
          <cell r="A176" t="str">
            <v>InvestigatorBU_Rep_Making_Referral</v>
          </cell>
          <cell r="B176" t="str">
            <v>String</v>
          </cell>
        </row>
        <row r="177">
          <cell r="A177" t="str">
            <v>Investigators_Subject_to_Legal_Hold</v>
          </cell>
          <cell r="B177" t="str">
            <v>Array[string]</v>
          </cell>
        </row>
        <row r="178">
          <cell r="A178" t="str">
            <v>Involved_Third_Parties</v>
          </cell>
          <cell r="B178" t="str">
            <v>Array[bigint]</v>
          </cell>
        </row>
        <row r="179">
          <cell r="A179" t="str">
            <v>Is_a_Third_Party_Vendor_being_impacted_o</v>
          </cell>
          <cell r="B179" t="str">
            <v>Array[string]</v>
          </cell>
        </row>
        <row r="180">
          <cell r="A180" t="str">
            <v>IS_Case_Resolution_Comments</v>
          </cell>
          <cell r="B180" t="str">
            <v>String</v>
          </cell>
        </row>
        <row r="181">
          <cell r="A181" t="str">
            <v>IS_Case_Summary_Completed</v>
          </cell>
          <cell r="B181" t="str">
            <v>Array[string]</v>
          </cell>
        </row>
        <row r="182">
          <cell r="A182" t="str">
            <v>IS_Case_Summary_Date</v>
          </cell>
          <cell r="B182" t="str">
            <v>String</v>
          </cell>
        </row>
        <row r="183">
          <cell r="A183" t="str">
            <v>IS_Case_Summary_Date_TS</v>
          </cell>
          <cell r="B183" t="str">
            <v>Timestamp</v>
          </cell>
        </row>
        <row r="184">
          <cell r="A184" t="str">
            <v>IS_Case_Summary_Resolution_Summary</v>
          </cell>
          <cell r="B184" t="str">
            <v>String</v>
          </cell>
        </row>
        <row r="185">
          <cell r="A185" t="str">
            <v>IS_Commentary</v>
          </cell>
          <cell r="B185" t="str">
            <v>String</v>
          </cell>
        </row>
        <row r="186">
          <cell r="A186" t="str">
            <v>Is_there_a_Financial_Impact_associated_w</v>
          </cell>
          <cell r="B186" t="str">
            <v>Array[string]</v>
          </cell>
        </row>
        <row r="187">
          <cell r="A187" t="str">
            <v>Is_this_incident_subject_to_Attorney_Cli</v>
          </cell>
          <cell r="B187" t="str">
            <v>Array[string]</v>
          </cell>
        </row>
        <row r="188">
          <cell r="A188" t="str">
            <v>Issues</v>
          </cell>
          <cell r="B188" t="str">
            <v>Array[bigint]</v>
          </cell>
        </row>
        <row r="189">
          <cell r="A189" t="str">
            <v>Issuing_Company</v>
          </cell>
          <cell r="B189" t="str">
            <v>Array[string]</v>
          </cell>
        </row>
        <row r="190">
          <cell r="A190" t="str">
            <v>Last_Updated</v>
          </cell>
          <cell r="B190" t="str">
            <v>String</v>
          </cell>
        </row>
        <row r="191">
          <cell r="A191" t="str">
            <v>Last_Updated_By_User</v>
          </cell>
          <cell r="B191" t="str">
            <v>String</v>
          </cell>
        </row>
        <row r="192">
          <cell r="A192" t="str">
            <v>Last_Updated_TS</v>
          </cell>
          <cell r="B192" t="str">
            <v>Timestamp</v>
          </cell>
        </row>
        <row r="193">
          <cell r="A193" t="str">
            <v>Legal_Entity</v>
          </cell>
          <cell r="B193" t="str">
            <v>Array[bigint]</v>
          </cell>
        </row>
        <row r="194">
          <cell r="A194" t="str">
            <v>Legal_Hold</v>
          </cell>
          <cell r="B194" t="str">
            <v>Array[string]</v>
          </cell>
        </row>
        <row r="195">
          <cell r="A195" t="str">
            <v>Legal_Hold_Comments</v>
          </cell>
          <cell r="B195" t="str">
            <v>String</v>
          </cell>
        </row>
        <row r="196">
          <cell r="A196" t="str">
            <v>LegalRegulatory_Information</v>
          </cell>
          <cell r="B196" t="str">
            <v>Array[bigint]</v>
          </cell>
        </row>
        <row r="197">
          <cell r="A197" t="str">
            <v>Lessons_Learned</v>
          </cell>
          <cell r="B197" t="str">
            <v>String</v>
          </cell>
        </row>
        <row r="198">
          <cell r="A198" t="str">
            <v>Leverage_Loan_Complaint</v>
          </cell>
          <cell r="B198" t="str">
            <v>Array[string]</v>
          </cell>
        </row>
        <row r="199">
          <cell r="A199" t="str">
            <v>Local_CRO_Approver</v>
          </cell>
          <cell r="B199" t="str">
            <v>Array[string]</v>
          </cell>
        </row>
        <row r="200">
          <cell r="A200" t="str">
            <v>Local_CRO_Comments</v>
          </cell>
          <cell r="B200" t="str">
            <v>String</v>
          </cell>
        </row>
        <row r="201">
          <cell r="A201" t="str">
            <v>Local_Currency</v>
          </cell>
          <cell r="B201" t="str">
            <v>Array[bigint]</v>
          </cell>
        </row>
        <row r="202">
          <cell r="A202" t="str">
            <v>Loss_Event_Reporting_Workflow</v>
          </cell>
          <cell r="B202" t="str">
            <v>Array[string]</v>
          </cell>
        </row>
        <row r="203">
          <cell r="A203" t="str">
            <v>Loss_Events</v>
          </cell>
          <cell r="B203" t="str">
            <v>Array[bigint]</v>
          </cell>
        </row>
        <row r="204">
          <cell r="A204" t="str">
            <v>Loss_Incurred_by_Client</v>
          </cell>
          <cell r="B204" t="str">
            <v>Double</v>
          </cell>
        </row>
        <row r="205">
          <cell r="A205" t="str">
            <v>Loss_or_Gain</v>
          </cell>
          <cell r="B205" t="str">
            <v>Array[string]</v>
          </cell>
        </row>
        <row r="206">
          <cell r="A206" t="str">
            <v>Manually_Created_in_Pindrop_</v>
          </cell>
          <cell r="B206" t="str">
            <v>Array[string]</v>
          </cell>
        </row>
        <row r="207">
          <cell r="A207" t="str">
            <v>Manulife_Facility</v>
          </cell>
          <cell r="B207" t="str">
            <v>Array[string]</v>
          </cell>
        </row>
        <row r="208">
          <cell r="A208" t="str">
            <v>MC_Final_Action</v>
          </cell>
          <cell r="B208" t="str">
            <v>Array[string]</v>
          </cell>
        </row>
        <row r="209">
          <cell r="A209" t="str">
            <v>MC_Final_Primary_Allegation</v>
          </cell>
          <cell r="B209" t="str">
            <v>Array[string]</v>
          </cell>
        </row>
        <row r="210">
          <cell r="A210" t="str">
            <v>MC_Final_Secondary_Allegation</v>
          </cell>
          <cell r="B210" t="str">
            <v>Array[string]</v>
          </cell>
        </row>
        <row r="211">
          <cell r="A211" t="str">
            <v>MC_Initial_Allegation_Confirmed</v>
          </cell>
          <cell r="B211" t="str">
            <v>Array[string]</v>
          </cell>
        </row>
        <row r="212">
          <cell r="A212" t="str">
            <v>MC_Resolution_Comments</v>
          </cell>
          <cell r="B212" t="str">
            <v>String</v>
          </cell>
        </row>
        <row r="213">
          <cell r="A213" t="str">
            <v>MC_Supervision_End_Date</v>
          </cell>
          <cell r="B213" t="str">
            <v>String</v>
          </cell>
        </row>
        <row r="214">
          <cell r="A214" t="str">
            <v>MC_Supervision_End_Date_TS</v>
          </cell>
          <cell r="B214" t="str">
            <v>Timestamp</v>
          </cell>
        </row>
        <row r="215">
          <cell r="A215" t="str">
            <v>MC_Supervision_Start_Date</v>
          </cell>
          <cell r="B215" t="str">
            <v>String</v>
          </cell>
        </row>
        <row r="216">
          <cell r="A216" t="str">
            <v>MC_Supervision_Start_Date_TS</v>
          </cell>
          <cell r="B216" t="str">
            <v>Timestamp</v>
          </cell>
        </row>
        <row r="217">
          <cell r="A217" t="str">
            <v>Method_of_Discovery</v>
          </cell>
          <cell r="B217" t="str">
            <v>String</v>
          </cell>
        </row>
        <row r="218">
          <cell r="A218" t="str">
            <v>Method_of_Receipt</v>
          </cell>
          <cell r="B218" t="str">
            <v>Array[string]</v>
          </cell>
        </row>
        <row r="219">
          <cell r="A219" t="str">
            <v>Name_or_type_of_Product_involved</v>
          </cell>
          <cell r="B219" t="str">
            <v>Array[string]</v>
          </cell>
        </row>
        <row r="220">
          <cell r="A220" t="str">
            <v>Net_Loss_CAD</v>
          </cell>
          <cell r="B220" t="str">
            <v>Double</v>
          </cell>
        </row>
        <row r="221">
          <cell r="A221" t="str">
            <v>Net_Loss_In_Local_Currency</v>
          </cell>
          <cell r="B221" t="str">
            <v>Double</v>
          </cell>
        </row>
        <row r="222">
          <cell r="A222" t="str">
            <v>Notify_to_Account_Search</v>
          </cell>
          <cell r="B222" t="str">
            <v>Array[string]</v>
          </cell>
        </row>
        <row r="223">
          <cell r="A223" t="str">
            <v>Notify_to_AML_Department</v>
          </cell>
          <cell r="B223" t="str">
            <v>Array[string]</v>
          </cell>
        </row>
        <row r="224">
          <cell r="A224" t="str">
            <v>Notify_to_Compliance</v>
          </cell>
          <cell r="B224" t="str">
            <v>Array[string]</v>
          </cell>
        </row>
        <row r="225">
          <cell r="A225" t="str">
            <v>Notify_to_DOI</v>
          </cell>
          <cell r="B225" t="str">
            <v>Array[string]</v>
          </cell>
        </row>
        <row r="226">
          <cell r="A226" t="str">
            <v>Notify_to_Inv_Services</v>
          </cell>
          <cell r="B226" t="str">
            <v>Array[string]</v>
          </cell>
        </row>
        <row r="227">
          <cell r="A227" t="str">
            <v>Notify_to_Privacy_Coordinator</v>
          </cell>
          <cell r="B227" t="str">
            <v>Array[string]</v>
          </cell>
        </row>
        <row r="228">
          <cell r="A228" t="str">
            <v>Notify_to_RPS_Legal</v>
          </cell>
          <cell r="B228" t="str">
            <v>Array[string]</v>
          </cell>
        </row>
        <row r="229">
          <cell r="A229" t="str">
            <v>Origin_of_Incident</v>
          </cell>
          <cell r="B229" t="str">
            <v>Array[string]</v>
          </cell>
        </row>
        <row r="230">
          <cell r="A230" t="str">
            <v>ORM__Segment_Record_Permissions</v>
          </cell>
          <cell r="B230" t="str">
            <v>Array[string]</v>
          </cell>
        </row>
        <row r="231">
          <cell r="A231" t="str">
            <v>ORMSuper_User_Access</v>
          </cell>
          <cell r="B231" t="str">
            <v>Array[string]</v>
          </cell>
        </row>
        <row r="232">
          <cell r="A232" t="str">
            <v>Other_Impacted_Common_Units</v>
          </cell>
          <cell r="B232" t="str">
            <v>Array[bigint]</v>
          </cell>
        </row>
        <row r="233">
          <cell r="A233" t="str">
            <v>Paralegal</v>
          </cell>
          <cell r="B233" t="str">
            <v>String</v>
          </cell>
        </row>
        <row r="234">
          <cell r="A234" t="str">
            <v>Party_ID</v>
          </cell>
          <cell r="B234" t="str">
            <v>String</v>
          </cell>
        </row>
        <row r="235">
          <cell r="A235" t="str">
            <v>Phishing</v>
          </cell>
          <cell r="B235" t="str">
            <v>Array[string]</v>
          </cell>
        </row>
        <row r="236">
          <cell r="A236" t="str">
            <v>Pindrop_Case_s</v>
          </cell>
          <cell r="B236" t="str">
            <v>String</v>
          </cell>
        </row>
        <row r="237">
          <cell r="A237" t="str">
            <v>Potential__Recoverable_Complaince</v>
          </cell>
          <cell r="B237" t="str">
            <v>Double</v>
          </cell>
        </row>
        <row r="238">
          <cell r="A238" t="str">
            <v>Potential__Recoverable_IS</v>
          </cell>
          <cell r="B238" t="str">
            <v>Double</v>
          </cell>
        </row>
        <row r="239">
          <cell r="A239" t="str">
            <v>Potential__Recoverable_Operations</v>
          </cell>
          <cell r="B239" t="str">
            <v>Double</v>
          </cell>
        </row>
        <row r="240">
          <cell r="A240" t="str">
            <v>Potential_Loss_Amount</v>
          </cell>
          <cell r="B240" t="str">
            <v>String</v>
          </cell>
        </row>
        <row r="241">
          <cell r="A241" t="str">
            <v>Previous_Loss_Event_ID</v>
          </cell>
          <cell r="B241" t="str">
            <v>String</v>
          </cell>
        </row>
        <row r="242">
          <cell r="A242" t="str">
            <v>Primary_Advisor</v>
          </cell>
          <cell r="B242" t="str">
            <v>String</v>
          </cell>
        </row>
        <row r="243">
          <cell r="A243" t="str">
            <v>Primary_Allegation</v>
          </cell>
          <cell r="B243" t="str">
            <v>Array[string]</v>
          </cell>
        </row>
        <row r="244">
          <cell r="A244" t="str">
            <v>Primary_Allegation_SubType</v>
          </cell>
          <cell r="B244" t="str">
            <v>Array[string]</v>
          </cell>
        </row>
        <row r="245">
          <cell r="A245" t="str">
            <v>Primary_Committed_By</v>
          </cell>
          <cell r="B245" t="str">
            <v>Array[string]</v>
          </cell>
        </row>
        <row r="246">
          <cell r="A246" t="str">
            <v>Primary_Fraud_Type</v>
          </cell>
          <cell r="B246" t="str">
            <v>Array[string]</v>
          </cell>
        </row>
        <row r="247">
          <cell r="A247" t="str">
            <v>Primary_Investigator_End_Date</v>
          </cell>
          <cell r="B247" t="str">
            <v>String</v>
          </cell>
        </row>
        <row r="248">
          <cell r="A248" t="str">
            <v>Primary_Investigator_End_Date_TS</v>
          </cell>
          <cell r="B248" t="str">
            <v>Timestamp</v>
          </cell>
        </row>
        <row r="249">
          <cell r="A249" t="str">
            <v>Primary_Investigator_Start_Date</v>
          </cell>
          <cell r="B249" t="str">
            <v>String</v>
          </cell>
        </row>
        <row r="250">
          <cell r="A250" t="str">
            <v>Primary_Investigator_Start_Date_TS</v>
          </cell>
          <cell r="B250" t="str">
            <v>Timestamp</v>
          </cell>
        </row>
        <row r="251">
          <cell r="A251" t="str">
            <v>Primary_Location_Address</v>
          </cell>
          <cell r="B251" t="str">
            <v>String</v>
          </cell>
        </row>
        <row r="252">
          <cell r="A252" t="str">
            <v>Primary_Location_City</v>
          </cell>
          <cell r="B252" t="str">
            <v>String</v>
          </cell>
        </row>
        <row r="253">
          <cell r="A253" t="str">
            <v>Primary_Location_Country</v>
          </cell>
          <cell r="B253" t="str">
            <v>Array[string]</v>
          </cell>
        </row>
        <row r="254">
          <cell r="A254" t="str">
            <v>Primary_Location_Phone_Number</v>
          </cell>
          <cell r="B254" t="str">
            <v>String</v>
          </cell>
        </row>
        <row r="255">
          <cell r="A255" t="str">
            <v>Primary_Location_StateProvince</v>
          </cell>
          <cell r="B255" t="str">
            <v>Array[string]</v>
          </cell>
        </row>
        <row r="256">
          <cell r="A256" t="str">
            <v>Primary_Location_ZipPostal_Code</v>
          </cell>
          <cell r="B256" t="str">
            <v>String</v>
          </cell>
        </row>
        <row r="257">
          <cell r="A257" t="str">
            <v>Priority_1</v>
          </cell>
          <cell r="B257" t="str">
            <v>Array[string]</v>
          </cell>
        </row>
        <row r="258">
          <cell r="A258" t="str">
            <v>Privacy_Actions_Taken</v>
          </cell>
          <cell r="B258" t="str">
            <v>Array[string]</v>
          </cell>
        </row>
        <row r="259">
          <cell r="A259" t="str">
            <v>Privacy_Confirmed_Primary_Cause</v>
          </cell>
          <cell r="B259" t="str">
            <v>Array[string]</v>
          </cell>
        </row>
        <row r="260">
          <cell r="A260" t="str">
            <v>Privacy_Confirmed_Secondary_Cause</v>
          </cell>
          <cell r="B260" t="str">
            <v>Array[string]</v>
          </cell>
        </row>
        <row r="261">
          <cell r="A261" t="str">
            <v>Privacy_Finding</v>
          </cell>
          <cell r="B261" t="str">
            <v>Array[string]</v>
          </cell>
        </row>
        <row r="262">
          <cell r="A262" t="str">
            <v>Privacy_Impact</v>
          </cell>
          <cell r="B262" t="str">
            <v>Array[string]</v>
          </cell>
        </row>
        <row r="263">
          <cell r="A263" t="str">
            <v>Privacy_Resolution_Comments</v>
          </cell>
          <cell r="B263" t="str">
            <v>String</v>
          </cell>
        </row>
        <row r="264">
          <cell r="A264" t="str">
            <v>Privacy_Root_Cause</v>
          </cell>
          <cell r="B264" t="str">
            <v>Array[string]</v>
          </cell>
        </row>
        <row r="265">
          <cell r="A265" t="str">
            <v>QCD</v>
          </cell>
          <cell r="B265" t="str">
            <v>Array[string]</v>
          </cell>
        </row>
        <row r="266">
          <cell r="A266" t="str">
            <v>Read_Only_CAP_and_Issues__No_Audit__Auto</v>
          </cell>
          <cell r="B266" t="str">
            <v>Array[string]</v>
          </cell>
        </row>
        <row r="267">
          <cell r="A267" t="str">
            <v>Reason_for_Delay</v>
          </cell>
          <cell r="B267" t="str">
            <v>String</v>
          </cell>
        </row>
        <row r="268">
          <cell r="A268" t="str">
            <v>Reason_for_Investigation</v>
          </cell>
          <cell r="B268" t="str">
            <v>String</v>
          </cell>
        </row>
        <row r="269">
          <cell r="A269" t="str">
            <v>Reasons_Case_Cant_be_Opened</v>
          </cell>
          <cell r="B269" t="str">
            <v>Array[string]</v>
          </cell>
        </row>
        <row r="270">
          <cell r="A270" t="str">
            <v>Recognition_Program</v>
          </cell>
          <cell r="B270" t="str">
            <v>Array[string]</v>
          </cell>
        </row>
        <row r="271">
          <cell r="A271" t="str">
            <v>Recovery_Amount</v>
          </cell>
          <cell r="B271" t="str">
            <v>Double</v>
          </cell>
        </row>
        <row r="272">
          <cell r="A272" t="str">
            <v>Recovery_Amount_if_any</v>
          </cell>
          <cell r="B272" t="str">
            <v>String</v>
          </cell>
        </row>
        <row r="273">
          <cell r="A273" t="str">
            <v>Recovery_Collected</v>
          </cell>
          <cell r="B273" t="str">
            <v>Double</v>
          </cell>
        </row>
        <row r="274">
          <cell r="A274" t="str">
            <v>Recovery_Comments</v>
          </cell>
          <cell r="B274" t="str">
            <v>String</v>
          </cell>
        </row>
        <row r="275">
          <cell r="A275" t="str">
            <v>Recovery_Efforts_Completed_for_Complianc</v>
          </cell>
          <cell r="B275" t="str">
            <v>Array[string]</v>
          </cell>
        </row>
        <row r="276">
          <cell r="A276" t="str">
            <v>Recovery_Efforts_Completed_for_IS</v>
          </cell>
          <cell r="B276" t="str">
            <v>Array[string]</v>
          </cell>
        </row>
        <row r="277">
          <cell r="A277" t="str">
            <v>Recovery_Efforts_Completed_for_Operation</v>
          </cell>
          <cell r="B277" t="str">
            <v>Array[string]</v>
          </cell>
        </row>
        <row r="278">
          <cell r="A278" t="str">
            <v>Referred_to_AFA</v>
          </cell>
          <cell r="B278" t="str">
            <v>Array[string]</v>
          </cell>
        </row>
        <row r="279">
          <cell r="A279" t="str">
            <v>Referred_to_US_Compliance</v>
          </cell>
          <cell r="B279" t="str">
            <v>Array[string]</v>
          </cell>
        </row>
        <row r="280">
          <cell r="A280" t="str">
            <v>Related_Incidents</v>
          </cell>
          <cell r="B280" t="str">
            <v>Array[bigint]</v>
          </cell>
        </row>
        <row r="281">
          <cell r="A281" t="str">
            <v>Related_Incidents1</v>
          </cell>
          <cell r="B281" t="str">
            <v>Array[bigint]</v>
          </cell>
        </row>
        <row r="282">
          <cell r="A282" t="str">
            <v>Related_Risks</v>
          </cell>
          <cell r="B282" t="str">
            <v>Array[bigint]</v>
          </cell>
        </row>
        <row r="283">
          <cell r="A283" t="str">
            <v>Reopen_Details</v>
          </cell>
          <cell r="B283" t="str">
            <v>Array[bigint]</v>
          </cell>
        </row>
        <row r="284">
          <cell r="A284" t="str">
            <v>Rep_Code_Manulife_Securities</v>
          </cell>
          <cell r="B284" t="str">
            <v>String</v>
          </cell>
        </row>
        <row r="285">
          <cell r="A285" t="str">
            <v>Report_Incident_to_Regulator</v>
          </cell>
          <cell r="B285" t="str">
            <v>Array[string]</v>
          </cell>
        </row>
        <row r="286">
          <cell r="A286" t="str">
            <v>Reported_to_Account_Search</v>
          </cell>
          <cell r="B286" t="str">
            <v>Array[string]</v>
          </cell>
        </row>
        <row r="287">
          <cell r="A287" t="str">
            <v>Reported_to_AML_Department</v>
          </cell>
          <cell r="B287" t="str">
            <v>Array[string]</v>
          </cell>
        </row>
        <row r="288">
          <cell r="A288" t="str">
            <v>Reported_to_ARC</v>
          </cell>
          <cell r="B288" t="str">
            <v>Array[string]</v>
          </cell>
        </row>
        <row r="289">
          <cell r="A289" t="str">
            <v>Reported_to_Compliance_for_Potential_Law</v>
          </cell>
          <cell r="B289" t="str">
            <v>Array[string]</v>
          </cell>
        </row>
        <row r="290">
          <cell r="A290" t="str">
            <v>Reported_to_DOI__Regulator</v>
          </cell>
          <cell r="B290" t="str">
            <v>Array[string]</v>
          </cell>
        </row>
        <row r="291">
          <cell r="A291" t="str">
            <v>Reported_to_DOI__Regulator_By</v>
          </cell>
          <cell r="B291" t="str">
            <v>Array[string]</v>
          </cell>
        </row>
        <row r="292">
          <cell r="A292" t="str">
            <v>Reported_to_IDEC_</v>
          </cell>
          <cell r="B292" t="str">
            <v>Array[string]</v>
          </cell>
        </row>
        <row r="293">
          <cell r="A293" t="str">
            <v>Reported_to_Privacy_Coordinator</v>
          </cell>
          <cell r="B293" t="str">
            <v>Array[string]</v>
          </cell>
        </row>
        <row r="294">
          <cell r="A294" t="str">
            <v>Reported_to_RPS_Legal</v>
          </cell>
          <cell r="B294" t="str">
            <v>Array[string]</v>
          </cell>
        </row>
        <row r="295">
          <cell r="A295" t="str">
            <v>Reporting_Criteria</v>
          </cell>
          <cell r="B295" t="str">
            <v>Array[string]</v>
          </cell>
        </row>
        <row r="296">
          <cell r="A296" t="str">
            <v>Reporting_Identifier__Business_Process</v>
          </cell>
          <cell r="B296" t="str">
            <v>String</v>
          </cell>
        </row>
        <row r="297">
          <cell r="A297" t="str">
            <v>Reporting_Identifier__Impacted_Common_Un</v>
          </cell>
          <cell r="B297" t="str">
            <v>String</v>
          </cell>
        </row>
        <row r="298">
          <cell r="A298" t="str">
            <v>Reporting_Timeliness</v>
          </cell>
          <cell r="B298" t="str">
            <v>Bigint</v>
          </cell>
        </row>
        <row r="299">
          <cell r="A299" t="str">
            <v>Reporting_Timeliness_Missed_Target</v>
          </cell>
          <cell r="B299" t="str">
            <v>Array[string]</v>
          </cell>
        </row>
        <row r="300">
          <cell r="A300" t="str">
            <v>Reporting_Unit</v>
          </cell>
          <cell r="B300" t="str">
            <v>Array[string]</v>
          </cell>
        </row>
        <row r="301">
          <cell r="A301" t="str">
            <v>Requested_Transactions</v>
          </cell>
          <cell r="B301" t="str">
            <v>Array[string]</v>
          </cell>
        </row>
        <row r="302">
          <cell r="A302" t="str">
            <v>Requester</v>
          </cell>
          <cell r="B302" t="str">
            <v>Array[bigint]</v>
          </cell>
        </row>
        <row r="303">
          <cell r="A303" t="str">
            <v>Responded_Date</v>
          </cell>
          <cell r="B303" t="str">
            <v>String</v>
          </cell>
        </row>
        <row r="304">
          <cell r="A304" t="str">
            <v>Responded_Date_TS</v>
          </cell>
          <cell r="B304" t="str">
            <v>Timestamp</v>
          </cell>
        </row>
        <row r="305">
          <cell r="A305" t="str">
            <v>Responsible_Business_Process</v>
          </cell>
          <cell r="B305" t="str">
            <v>Array[bigint]</v>
          </cell>
        </row>
        <row r="306">
          <cell r="A306" t="str">
            <v>Responsible_Child_Business_Process</v>
          </cell>
          <cell r="B306" t="str">
            <v>Array[bigint]</v>
          </cell>
        </row>
        <row r="307">
          <cell r="A307" t="str">
            <v>Responsible_Common_Unit</v>
          </cell>
          <cell r="B307" t="str">
            <v>Array[bigint]</v>
          </cell>
        </row>
        <row r="308">
          <cell r="A308" t="str">
            <v>Risk_Category</v>
          </cell>
          <cell r="B308" t="str">
            <v>Array[bigint]</v>
          </cell>
        </row>
        <row r="309">
          <cell r="A309" t="str">
            <v>Risk_Category_Level_I_Name</v>
          </cell>
          <cell r="B309" t="str">
            <v>String</v>
          </cell>
        </row>
        <row r="310">
          <cell r="A310" t="str">
            <v>Risk_Category_Level_II_Name</v>
          </cell>
          <cell r="B310" t="str">
            <v>String</v>
          </cell>
        </row>
        <row r="311">
          <cell r="A311" t="str">
            <v>Risks</v>
          </cell>
          <cell r="B311" t="str">
            <v>Array[bigint]</v>
          </cell>
        </row>
        <row r="312">
          <cell r="A312" t="str">
            <v>RM_CM_2nd_Line_of_Defense_Excluding_High</v>
          </cell>
          <cell r="B312" t="str">
            <v>Array[string]</v>
          </cell>
        </row>
        <row r="313">
          <cell r="A313" t="str">
            <v>Root_Cause</v>
          </cell>
          <cell r="B313" t="str">
            <v>Array[string]</v>
          </cell>
        </row>
        <row r="314">
          <cell r="A314" t="str">
            <v>Root_Cause_Category</v>
          </cell>
          <cell r="B314" t="str">
            <v>Array[string]</v>
          </cell>
        </row>
        <row r="315">
          <cell r="A315" t="str">
            <v>Root_Cause_Category_Level_2</v>
          </cell>
          <cell r="B315" t="str">
            <v>Array[string]</v>
          </cell>
        </row>
        <row r="316">
          <cell r="A316" t="str">
            <v>Root_Cause_Description</v>
          </cell>
          <cell r="B316" t="str">
            <v>String</v>
          </cell>
        </row>
        <row r="317">
          <cell r="A317" t="str">
            <v>Root_Cause_Details</v>
          </cell>
          <cell r="B317" t="str">
            <v>String</v>
          </cell>
        </row>
        <row r="318">
          <cell r="A318" t="str">
            <v>Secondary_Allegation_SubType</v>
          </cell>
          <cell r="B318" t="str">
            <v>Array[string]</v>
          </cell>
        </row>
        <row r="319">
          <cell r="A319" t="str">
            <v>Secondary_Allegation1</v>
          </cell>
          <cell r="B319" t="str">
            <v>Array[string]</v>
          </cell>
        </row>
        <row r="320">
          <cell r="A320" t="str">
            <v>Secondary_Committed_by</v>
          </cell>
          <cell r="B320" t="str">
            <v>Array[string]</v>
          </cell>
        </row>
        <row r="321">
          <cell r="A321" t="str">
            <v>Secondary_Fraud_Type</v>
          </cell>
          <cell r="B321" t="str">
            <v>Array[string]</v>
          </cell>
        </row>
        <row r="322">
          <cell r="A322" t="str">
            <v>Segment_Information_Risk_Reviewer</v>
          </cell>
          <cell r="B322" t="str">
            <v>Array[string]</v>
          </cell>
        </row>
        <row r="323">
          <cell r="A323" t="str">
            <v>Segment_Name</v>
          </cell>
          <cell r="B323" t="str">
            <v>String</v>
          </cell>
        </row>
        <row r="324">
          <cell r="A324" t="str">
            <v>Segment_Risk_Reviewer</v>
          </cell>
          <cell r="B324" t="str">
            <v>Array[string]</v>
          </cell>
        </row>
        <row r="325">
          <cell r="A325" t="str">
            <v>SNOW__Incident_Creator</v>
          </cell>
          <cell r="B325" t="str">
            <v>String</v>
          </cell>
        </row>
        <row r="326">
          <cell r="A326" t="str">
            <v>SNOW_Category</v>
          </cell>
          <cell r="B326" t="str">
            <v>String</v>
          </cell>
        </row>
        <row r="327">
          <cell r="A327" t="str">
            <v>SNOW_Caused_by_Change</v>
          </cell>
          <cell r="B327" t="str">
            <v>String</v>
          </cell>
        </row>
        <row r="328">
          <cell r="A328" t="str">
            <v>SNOW_CI_Identifier</v>
          </cell>
          <cell r="B328" t="str">
            <v>String</v>
          </cell>
        </row>
        <row r="329">
          <cell r="A329" t="str">
            <v>SNOW_Comment</v>
          </cell>
          <cell r="B329" t="str">
            <v>String</v>
          </cell>
        </row>
        <row r="330">
          <cell r="A330" t="str">
            <v>SNOW_Customer_Facing</v>
          </cell>
          <cell r="B330" t="str">
            <v>String</v>
          </cell>
        </row>
        <row r="331">
          <cell r="A331" t="str">
            <v>SNOW_INC_Last_Updated</v>
          </cell>
          <cell r="B331" t="str">
            <v>String</v>
          </cell>
        </row>
        <row r="332">
          <cell r="A332" t="str">
            <v>SNOW_INC_Last_Updated_TS</v>
          </cell>
          <cell r="B332" t="str">
            <v>Timestamp</v>
          </cell>
        </row>
        <row r="333">
          <cell r="A333" t="str">
            <v>SNOW_INC_Service_Now_ID</v>
          </cell>
          <cell r="B333" t="str">
            <v>String</v>
          </cell>
        </row>
        <row r="334">
          <cell r="A334" t="str">
            <v>SNOW_Root_Cause_Category</v>
          </cell>
          <cell r="B334" t="str">
            <v>String</v>
          </cell>
        </row>
        <row r="335">
          <cell r="A335" t="str">
            <v>SNOW_Root_Cause_Category__Level_II</v>
          </cell>
          <cell r="B335" t="str">
            <v>String</v>
          </cell>
        </row>
        <row r="336">
          <cell r="A336" t="str">
            <v>SNOW_Vendors</v>
          </cell>
          <cell r="B336" t="str">
            <v>String</v>
          </cell>
        </row>
        <row r="337">
          <cell r="A337" t="str">
            <v>Source_of_Loss</v>
          </cell>
          <cell r="B337" t="str">
            <v>Array[string]</v>
          </cell>
        </row>
        <row r="338">
          <cell r="A338" t="str">
            <v>State</v>
          </cell>
          <cell r="B338" t="str">
            <v>Array[string]</v>
          </cell>
        </row>
        <row r="339">
          <cell r="A339" t="str">
            <v>Status</v>
          </cell>
          <cell r="B339" t="str">
            <v>Array[string]</v>
          </cell>
        </row>
        <row r="340">
          <cell r="A340" t="str">
            <v>Subject_DOB</v>
          </cell>
          <cell r="B340" t="str">
            <v>String</v>
          </cell>
        </row>
        <row r="341">
          <cell r="A341" t="str">
            <v>Subject_DOB_TS</v>
          </cell>
          <cell r="B341" t="str">
            <v>Timestamp</v>
          </cell>
        </row>
        <row r="342">
          <cell r="A342" t="str">
            <v>Subject_DOD</v>
          </cell>
          <cell r="B342" t="str">
            <v>String</v>
          </cell>
        </row>
        <row r="343">
          <cell r="A343" t="str">
            <v>Subject_DOD_TS</v>
          </cell>
          <cell r="B343" t="str">
            <v>Timestamp</v>
          </cell>
        </row>
        <row r="344">
          <cell r="A344" t="str">
            <v>Subject_SSNSINTIN</v>
          </cell>
          <cell r="B344" t="str">
            <v>String</v>
          </cell>
        </row>
        <row r="345">
          <cell r="A345" t="str">
            <v>Subject_Type</v>
          </cell>
          <cell r="B345" t="str">
            <v>Array[string]</v>
          </cell>
        </row>
        <row r="346">
          <cell r="A346" t="str">
            <v>Summary_of_Impact</v>
          </cell>
          <cell r="B346" t="str">
            <v>String</v>
          </cell>
        </row>
        <row r="347">
          <cell r="A347" t="str">
            <v>Summary_of_Resolution</v>
          </cell>
          <cell r="B347" t="str">
            <v>String</v>
          </cell>
        </row>
        <row r="348">
          <cell r="A348" t="str">
            <v>Supporting_Attachments</v>
          </cell>
          <cell r="B348" t="str">
            <v>Array[bigint]</v>
          </cell>
        </row>
        <row r="349">
          <cell r="A349" t="str">
            <v>Suspect_Addresses</v>
          </cell>
          <cell r="B349" t="str">
            <v>String</v>
          </cell>
        </row>
        <row r="350">
          <cell r="A350" t="str">
            <v>Suspect_DOB</v>
          </cell>
          <cell r="B350" t="str">
            <v>String</v>
          </cell>
        </row>
        <row r="351">
          <cell r="A351" t="str">
            <v>Suspect_DOB_TS</v>
          </cell>
          <cell r="B351" t="str">
            <v>Timestamp</v>
          </cell>
        </row>
        <row r="352">
          <cell r="A352" t="str">
            <v>Suspect_Names</v>
          </cell>
          <cell r="B352" t="str">
            <v>String</v>
          </cell>
        </row>
        <row r="353">
          <cell r="A353" t="str">
            <v>Suspect_SSNSIN</v>
          </cell>
          <cell r="B353" t="str">
            <v>String</v>
          </cell>
        </row>
        <row r="354">
          <cell r="A354" t="str">
            <v>Suspect_Telephone_Numbers</v>
          </cell>
          <cell r="B354" t="str">
            <v>String</v>
          </cell>
        </row>
        <row r="355">
          <cell r="A355" t="str">
            <v>Suspected_Fraud_or_Misconduct</v>
          </cell>
          <cell r="B355" t="str">
            <v>Array[string]</v>
          </cell>
        </row>
        <row r="356">
          <cell r="A356" t="str">
            <v>Total_Funds_Recovered</v>
          </cell>
          <cell r="B356" t="str">
            <v>Double</v>
          </cell>
        </row>
        <row r="357">
          <cell r="A357" t="str">
            <v>Total_Hours</v>
          </cell>
          <cell r="B357" t="str">
            <v>Bigint</v>
          </cell>
        </row>
        <row r="358">
          <cell r="A358" t="str">
            <v>Transaction_Status</v>
          </cell>
          <cell r="B358" t="str">
            <v>Array[string]</v>
          </cell>
        </row>
        <row r="359">
          <cell r="A359" t="str">
            <v>Unique_Tracking_ID</v>
          </cell>
          <cell r="B359" t="str">
            <v>Bigint</v>
          </cell>
        </row>
        <row r="360">
          <cell r="A360" t="str">
            <v>US_Privacy_Incident_Reporting</v>
          </cell>
          <cell r="B360" t="str">
            <v>Array[string]</v>
          </cell>
        </row>
        <row r="361">
          <cell r="A361" t="str">
            <v>Verification_Response</v>
          </cell>
          <cell r="B361" t="str">
            <v>String</v>
          </cell>
        </row>
        <row r="362">
          <cell r="A362" t="str">
            <v>VRGM</v>
          </cell>
          <cell r="B362" t="str">
            <v>Array[string]</v>
          </cell>
        </row>
        <row r="363">
          <cell r="A363" t="str">
            <v>VRGM_Mail_Box</v>
          </cell>
          <cell r="B363" t="str">
            <v>Array[string]</v>
          </cell>
        </row>
        <row r="364">
          <cell r="A364" t="str">
            <v>Which_System_is_impacted</v>
          </cell>
          <cell r="B364" t="str">
            <v>Array[bigint]</v>
          </cell>
        </row>
        <row r="365">
          <cell r="A365" t="str">
            <v>X__Combined_Category_and_Classification_</v>
          </cell>
          <cell r="B365" t="str">
            <v>String</v>
          </cell>
        </row>
        <row r="366">
          <cell r="A366" t="str">
            <v>X__Info_Classification_Helper</v>
          </cell>
          <cell r="B366" t="str">
            <v>Array[string]</v>
          </cell>
        </row>
        <row r="367">
          <cell r="A367" t="str">
            <v>X__ORM_Category_Date_Helper</v>
          </cell>
          <cell r="B367" t="str">
            <v>TimeStamp</v>
          </cell>
        </row>
        <row r="368">
          <cell r="A368" t="str">
            <v>X__ORM_Incident_Category_Helper</v>
          </cell>
          <cell r="B368" t="str">
            <v>Array[string]</v>
          </cell>
        </row>
        <row r="369">
          <cell r="A369" t="str">
            <v>XIncident_Category</v>
          </cell>
          <cell r="B369" t="str">
            <v>Array[string]</v>
          </cell>
        </row>
        <row r="370">
          <cell r="A370" t="str">
            <v>XLocal_Currency__Tracking_ID</v>
          </cell>
          <cell r="B370" t="str">
            <v>Bigint</v>
          </cell>
        </row>
        <row r="371">
          <cell r="A371" t="str">
            <v>XReportableEventStatus</v>
          </cell>
          <cell r="B371" t="str">
            <v>Array[string]</v>
          </cell>
        </row>
        <row r="372">
          <cell r="A372" t="str">
            <v>Zip_Code</v>
          </cell>
          <cell r="B372" t="str">
            <v>String</v>
          </cell>
        </row>
        <row r="373">
          <cell r="A373" t="str">
            <v>SNOW_Priority</v>
          </cell>
          <cell r="B373" t="str">
            <v>String</v>
          </cell>
        </row>
        <row r="374">
          <cell r="A374" t="str">
            <v>Job_Run_ID</v>
          </cell>
          <cell r="B374" t="str">
            <v>string</v>
          </cell>
        </row>
        <row r="375">
          <cell r="A375" t="str">
            <v>Service_ID</v>
          </cell>
          <cell r="B375" t="str">
            <v>string</v>
          </cell>
        </row>
        <row r="376">
          <cell r="A376" t="str">
            <v>Source_ID</v>
          </cell>
          <cell r="B376" t="str">
            <v>int</v>
          </cell>
        </row>
        <row r="377">
          <cell r="A377" t="str">
            <v>Load_DT</v>
          </cell>
          <cell r="B377" t="str">
            <v>date</v>
          </cell>
        </row>
        <row r="378">
          <cell r="A378" t="str">
            <v>Load_TS</v>
          </cell>
          <cell r="B378" t="str">
            <v>TimeStamp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purview.microsoft.com/datacatalog/governance/main/catalog/entity?guid=bfb977b4-4ac5-423d-9787-b3f6f6f6012f" TargetMode="External"/><Relationship Id="rId1" Type="http://schemas.openxmlformats.org/officeDocument/2006/relationships/hyperlink" Target="https://purview.microsoft.com/datacatalog/governance/main/catalog/entity?guid=bfb977b4-4ac5-423d-9787-b3f6f6f6012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rview.microsoft.com/datacatalog/governance/main/catalog/entity?guid=bfb977b4-4ac5-423d-9787-b3f6f6f601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2BB9-1B3B-4E19-8D3E-73A2417FA09B}">
  <dimension ref="A1:B9"/>
  <sheetViews>
    <sheetView workbookViewId="0">
      <selection activeCell="D5" sqref="D5"/>
    </sheetView>
  </sheetViews>
  <sheetFormatPr defaultRowHeight="14.5" x14ac:dyDescent="0.35"/>
  <cols>
    <col min="1" max="1" width="19" bestFit="1" customWidth="1"/>
  </cols>
  <sheetData>
    <row r="1" spans="1:2" x14ac:dyDescent="0.35">
      <c r="A1" s="81" t="s">
        <v>140</v>
      </c>
      <c r="B1" s="81" t="s">
        <v>141</v>
      </c>
    </row>
    <row r="2" spans="1:2" x14ac:dyDescent="0.35">
      <c r="A2" s="76" t="s">
        <v>138</v>
      </c>
      <c r="B2" s="76" t="s">
        <v>139</v>
      </c>
    </row>
    <row r="3" spans="1:2" x14ac:dyDescent="0.35">
      <c r="A3" s="76" t="s">
        <v>196</v>
      </c>
      <c r="B3" s="76" t="s">
        <v>139</v>
      </c>
    </row>
    <row r="4" spans="1:2" x14ac:dyDescent="0.35">
      <c r="A4" s="76" t="s">
        <v>199</v>
      </c>
      <c r="B4" s="76" t="s">
        <v>139</v>
      </c>
    </row>
    <row r="5" spans="1:2" x14ac:dyDescent="0.35">
      <c r="A5" s="76" t="s">
        <v>232</v>
      </c>
      <c r="B5" s="76" t="s">
        <v>139</v>
      </c>
    </row>
    <row r="6" spans="1:2" x14ac:dyDescent="0.35">
      <c r="A6" s="76" t="s">
        <v>343</v>
      </c>
      <c r="B6" s="76" t="s">
        <v>139</v>
      </c>
    </row>
    <row r="7" spans="1:2" x14ac:dyDescent="0.35">
      <c r="A7" s="76" t="s">
        <v>344</v>
      </c>
      <c r="B7" s="76" t="s">
        <v>139</v>
      </c>
    </row>
    <row r="8" spans="1:2" x14ac:dyDescent="0.35">
      <c r="A8" s="76" t="s">
        <v>345</v>
      </c>
      <c r="B8" s="76" t="s">
        <v>139</v>
      </c>
    </row>
    <row r="9" spans="1:2" x14ac:dyDescent="0.35">
      <c r="A9" s="76" t="s">
        <v>346</v>
      </c>
      <c r="B9" s="7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6139-7572-4518-BF97-495CD52C1414}">
  <dimension ref="A1:U38"/>
  <sheetViews>
    <sheetView tabSelected="1" zoomScale="70" zoomScaleNormal="70" workbookViewId="0">
      <selection activeCell="K14" sqref="K14"/>
    </sheetView>
  </sheetViews>
  <sheetFormatPr defaultColWidth="8.7265625" defaultRowHeight="14.5" x14ac:dyDescent="0.35"/>
  <cols>
    <col min="1" max="1" width="9.1796875" style="2" bestFit="1" customWidth="1"/>
    <col min="2" max="2" width="9.1796875" style="2" customWidth="1"/>
    <col min="3" max="3" width="17.81640625" style="2" bestFit="1" customWidth="1"/>
    <col min="4" max="4" width="22.54296875" style="2" customWidth="1"/>
    <col min="5" max="5" width="23.54296875" style="2" bestFit="1" customWidth="1"/>
    <col min="6" max="6" width="30.54296875" style="2" customWidth="1"/>
    <col min="7" max="7" width="32.81640625" style="2" bestFit="1" customWidth="1"/>
    <col min="8" max="8" width="20.81640625" style="2" bestFit="1" customWidth="1"/>
    <col min="9" max="9" width="8.26953125" style="2" hidden="1" customWidth="1"/>
    <col min="10" max="10" width="12.1796875" style="2" hidden="1" customWidth="1"/>
    <col min="11" max="11" width="65.81640625" style="39" customWidth="1"/>
    <col min="12" max="12" width="25" style="2" hidden="1" customWidth="1"/>
    <col min="13" max="13" width="25.1796875" style="2" hidden="1" customWidth="1"/>
    <col min="14" max="14" width="22.54296875" style="2" hidden="1" customWidth="1"/>
    <col min="15" max="15" width="14.36328125" style="2" bestFit="1" customWidth="1"/>
    <col min="16" max="16" width="35.54296875" style="2" bestFit="1" customWidth="1"/>
    <col min="17" max="17" width="30.54296875" style="2" customWidth="1"/>
    <col min="18" max="18" width="16.1796875" style="2" bestFit="1" customWidth="1"/>
    <col min="19" max="19" width="60.453125" style="2" bestFit="1" customWidth="1"/>
    <col min="20" max="20" width="69.453125" style="39" customWidth="1"/>
    <col min="21" max="21" width="17.54296875" style="2" bestFit="1" customWidth="1"/>
    <col min="22" max="16384" width="8.7265625" style="2"/>
  </cols>
  <sheetData>
    <row r="1" spans="1:21" x14ac:dyDescent="0.35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3" t="s">
        <v>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</row>
    <row r="2" spans="1:21" x14ac:dyDescent="0.35">
      <c r="A2" s="202"/>
      <c r="B2" s="202"/>
      <c r="C2" s="202"/>
      <c r="D2" s="202"/>
      <c r="E2" s="202"/>
      <c r="F2" s="202"/>
      <c r="G2" s="202"/>
      <c r="H2" s="202"/>
      <c r="I2" s="202"/>
      <c r="J2" s="202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</row>
    <row r="3" spans="1:21" ht="22.5" x14ac:dyDescent="0.35">
      <c r="A3" s="204" t="s">
        <v>2</v>
      </c>
      <c r="B3" s="205"/>
      <c r="C3" s="205"/>
      <c r="D3" s="205"/>
      <c r="E3" s="205"/>
      <c r="F3" s="205"/>
      <c r="G3" s="205"/>
      <c r="H3" s="205"/>
      <c r="I3" s="205"/>
      <c r="J3" s="206"/>
      <c r="K3" s="3"/>
      <c r="L3" s="1"/>
      <c r="M3" s="1"/>
      <c r="N3" s="1"/>
      <c r="O3" s="1"/>
      <c r="P3" s="1"/>
      <c r="Q3" s="1"/>
      <c r="R3" s="1"/>
      <c r="S3" s="1"/>
      <c r="T3" s="4"/>
      <c r="U3" s="5"/>
    </row>
    <row r="4" spans="1:21" ht="32" x14ac:dyDescent="0.3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9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11" t="s">
        <v>18</v>
      </c>
      <c r="Q4" s="10" t="s">
        <v>19</v>
      </c>
      <c r="R4" s="10" t="s">
        <v>20</v>
      </c>
      <c r="S4" s="10" t="s">
        <v>21</v>
      </c>
      <c r="T4" s="9" t="s">
        <v>22</v>
      </c>
      <c r="U4" s="12" t="s">
        <v>23</v>
      </c>
    </row>
    <row r="5" spans="1:21" s="28" customFormat="1" ht="15" customHeight="1" x14ac:dyDescent="0.35">
      <c r="A5" s="13">
        <v>1.2</v>
      </c>
      <c r="B5" s="14" t="s">
        <v>24</v>
      </c>
      <c r="C5" s="15" t="s">
        <v>25</v>
      </c>
      <c r="D5" s="16" t="s">
        <v>26</v>
      </c>
      <c r="E5" s="17" t="s">
        <v>27</v>
      </c>
      <c r="F5" s="18" t="s">
        <v>28</v>
      </c>
      <c r="G5" s="19" t="s">
        <v>29</v>
      </c>
      <c r="H5" s="20" t="s">
        <v>30</v>
      </c>
      <c r="I5" s="15" t="s">
        <v>31</v>
      </c>
      <c r="J5" s="15"/>
      <c r="K5" s="21" t="s">
        <v>32</v>
      </c>
      <c r="L5" s="15" t="s">
        <v>25</v>
      </c>
      <c r="M5" s="15" t="s">
        <v>33</v>
      </c>
      <c r="N5" s="15" t="s">
        <v>34</v>
      </c>
      <c r="O5" s="22" t="s">
        <v>27</v>
      </c>
      <c r="P5" s="18" t="s">
        <v>28</v>
      </c>
      <c r="Q5" s="23" t="str">
        <f>_xlfn.LET(_xlpm.x,CLEAN(SUBSTITUTE(F5,CHAR(160)," ")),_xlpm.y,SUBSTITUTE(SUBSTITUTE(SUBSTITUTE(SUBSTITUTE(SUBSTITUTE(SUBSTITUTE(SUBSTITUTE(_xlpm.x,"("," "),")"," "),"/"," "),"-"," "),"."," "),","," "),":"," "),_xlpm.z,TRIM(_xlpm.y),IF(LEN(_xlpm.z)=0,"(blank)",LOWER(SUBSTITUTE(_xlpm.z," ","_"))))</f>
        <v>metric_id</v>
      </c>
      <c r="R5" s="24" t="s">
        <v>35</v>
      </c>
      <c r="S5" s="25" t="s">
        <v>36</v>
      </c>
      <c r="T5" s="26"/>
      <c r="U5" s="27" t="s">
        <v>37</v>
      </c>
    </row>
    <row r="6" spans="1:21" x14ac:dyDescent="0.35">
      <c r="A6" s="29">
        <v>1.2</v>
      </c>
      <c r="B6" s="14" t="s">
        <v>24</v>
      </c>
      <c r="C6" s="27" t="s">
        <v>25</v>
      </c>
      <c r="D6" s="30" t="s">
        <v>26</v>
      </c>
      <c r="E6" s="31" t="s">
        <v>27</v>
      </c>
      <c r="F6" s="32" t="s">
        <v>38</v>
      </c>
      <c r="G6" s="20" t="s">
        <v>39</v>
      </c>
      <c r="H6" s="20" t="s">
        <v>30</v>
      </c>
      <c r="I6" s="20"/>
      <c r="J6" s="20"/>
      <c r="K6" s="33" t="s">
        <v>32</v>
      </c>
      <c r="L6" s="27" t="s">
        <v>25</v>
      </c>
      <c r="M6" s="27" t="s">
        <v>33</v>
      </c>
      <c r="N6" s="27" t="s">
        <v>34</v>
      </c>
      <c r="O6" s="34" t="s">
        <v>27</v>
      </c>
      <c r="P6" s="32" t="s">
        <v>38</v>
      </c>
      <c r="Q6" s="23" t="str">
        <f t="shared" ref="Q6:Q12" si="0">_xlfn.LET(_xlpm.x,CLEAN(SUBSTITUTE(F6,CHAR(160)," ")),_xlpm.y,SUBSTITUTE(SUBSTITUTE(SUBSTITUTE(SUBSTITUTE(SUBSTITUTE(SUBSTITUTE(SUBSTITUTE(_xlpm.x,"("," "),")"," "),"/"," "),"-"," "),"."," "),","," "),":"," "),_xlpm.z,TRIM(_xlpm.y),IF(LEN(_xlpm.z)=0,"(blank)",LOWER(SUBSTITUTE(_xlpm.z," ","_"))))</f>
        <v>amber_max</v>
      </c>
      <c r="R6" s="35" t="s">
        <v>30</v>
      </c>
      <c r="S6" s="20"/>
      <c r="T6" s="33"/>
      <c r="U6" s="27" t="s">
        <v>37</v>
      </c>
    </row>
    <row r="7" spans="1:21" s="28" customFormat="1" x14ac:dyDescent="0.35">
      <c r="A7" s="29">
        <v>1.2</v>
      </c>
      <c r="B7" s="14" t="s">
        <v>24</v>
      </c>
      <c r="C7" s="27" t="s">
        <v>25</v>
      </c>
      <c r="D7" s="30" t="s">
        <v>26</v>
      </c>
      <c r="E7" s="31" t="s">
        <v>27</v>
      </c>
      <c r="F7" s="32" t="s">
        <v>40</v>
      </c>
      <c r="G7" s="20" t="s">
        <v>41</v>
      </c>
      <c r="H7" s="20" t="s">
        <v>30</v>
      </c>
      <c r="I7" s="20"/>
      <c r="J7" s="20"/>
      <c r="K7" s="33" t="s">
        <v>32</v>
      </c>
      <c r="L7" s="27" t="s">
        <v>25</v>
      </c>
      <c r="M7" s="27" t="s">
        <v>33</v>
      </c>
      <c r="N7" s="27" t="s">
        <v>34</v>
      </c>
      <c r="O7" s="31" t="s">
        <v>27</v>
      </c>
      <c r="P7" s="32" t="s">
        <v>40</v>
      </c>
      <c r="Q7" s="23" t="str">
        <f t="shared" si="0"/>
        <v>amber_min</v>
      </c>
      <c r="R7" s="35" t="s">
        <v>30</v>
      </c>
      <c r="S7" s="20"/>
      <c r="T7" s="33"/>
      <c r="U7" s="27" t="s">
        <v>37</v>
      </c>
    </row>
    <row r="8" spans="1:21" x14ac:dyDescent="0.35">
      <c r="A8" s="29">
        <v>1.2</v>
      </c>
      <c r="B8" s="36" t="s">
        <v>24</v>
      </c>
      <c r="C8" s="27" t="s">
        <v>25</v>
      </c>
      <c r="D8" s="30" t="s">
        <v>26</v>
      </c>
      <c r="E8" s="31" t="s">
        <v>27</v>
      </c>
      <c r="F8" s="2" t="s">
        <v>42</v>
      </c>
      <c r="G8" s="37" t="s">
        <v>43</v>
      </c>
      <c r="H8" s="20" t="s">
        <v>44</v>
      </c>
      <c r="I8" s="20"/>
      <c r="J8" s="20"/>
      <c r="K8" s="33" t="s">
        <v>32</v>
      </c>
      <c r="L8" s="27" t="s">
        <v>25</v>
      </c>
      <c r="M8" s="27" t="s">
        <v>33</v>
      </c>
      <c r="N8" s="27" t="s">
        <v>34</v>
      </c>
      <c r="O8" s="31" t="s">
        <v>27</v>
      </c>
      <c r="P8" s="2" t="s">
        <v>42</v>
      </c>
      <c r="Q8" s="37" t="s">
        <v>43</v>
      </c>
      <c r="R8" s="35" t="s">
        <v>45</v>
      </c>
      <c r="S8" s="20" t="s">
        <v>46</v>
      </c>
      <c r="T8" s="38" t="s">
        <v>47</v>
      </c>
      <c r="U8" s="27" t="s">
        <v>37</v>
      </c>
    </row>
    <row r="9" spans="1:21" ht="61.5" customHeight="1" x14ac:dyDescent="0.35">
      <c r="A9" s="29">
        <v>1.2</v>
      </c>
      <c r="B9" s="14" t="s">
        <v>24</v>
      </c>
      <c r="C9" s="27" t="s">
        <v>25</v>
      </c>
      <c r="D9" s="30" t="s">
        <v>26</v>
      </c>
      <c r="E9" s="31" t="s">
        <v>27</v>
      </c>
      <c r="F9" s="32" t="s">
        <v>48</v>
      </c>
      <c r="G9" s="20" t="s">
        <v>49</v>
      </c>
      <c r="H9" s="20" t="s">
        <v>44</v>
      </c>
      <c r="I9" s="20"/>
      <c r="J9" s="20"/>
      <c r="K9" s="33" t="s">
        <v>32</v>
      </c>
      <c r="L9" s="27" t="s">
        <v>25</v>
      </c>
      <c r="M9" s="27" t="s">
        <v>33</v>
      </c>
      <c r="N9" s="27" t="s">
        <v>34</v>
      </c>
      <c r="O9" s="31" t="s">
        <v>27</v>
      </c>
      <c r="P9" s="32" t="s">
        <v>48</v>
      </c>
      <c r="Q9" s="23" t="str">
        <f t="shared" si="0"/>
        <v>control_standard_name</v>
      </c>
      <c r="R9" s="35" t="s">
        <v>45</v>
      </c>
      <c r="S9" s="20"/>
      <c r="T9" s="38" t="s">
        <v>50</v>
      </c>
      <c r="U9" s="27" t="s">
        <v>37</v>
      </c>
    </row>
    <row r="10" spans="1:21" x14ac:dyDescent="0.35">
      <c r="A10" s="29">
        <v>1.2</v>
      </c>
      <c r="B10" s="14" t="s">
        <v>24</v>
      </c>
      <c r="C10" s="27" t="s">
        <v>25</v>
      </c>
      <c r="D10" s="30" t="s">
        <v>26</v>
      </c>
      <c r="E10" s="31" t="s">
        <v>27</v>
      </c>
      <c r="F10" s="32" t="s">
        <v>51</v>
      </c>
      <c r="G10" s="20" t="s">
        <v>52</v>
      </c>
      <c r="H10" s="20" t="s">
        <v>30</v>
      </c>
      <c r="I10" s="20"/>
      <c r="J10" s="20"/>
      <c r="K10" s="33" t="s">
        <v>32</v>
      </c>
      <c r="L10" s="27" t="s">
        <v>25</v>
      </c>
      <c r="M10" s="27" t="s">
        <v>33</v>
      </c>
      <c r="N10" s="27" t="s">
        <v>34</v>
      </c>
      <c r="O10" s="31" t="s">
        <v>27</v>
      </c>
      <c r="P10" s="32" t="s">
        <v>51</v>
      </c>
      <c r="Q10" s="23" t="str">
        <f t="shared" si="0"/>
        <v>current_value</v>
      </c>
      <c r="R10" s="35" t="s">
        <v>30</v>
      </c>
      <c r="S10" s="20"/>
      <c r="U10" s="27" t="s">
        <v>37</v>
      </c>
    </row>
    <row r="11" spans="1:21" x14ac:dyDescent="0.35">
      <c r="A11" s="29">
        <v>1.2</v>
      </c>
      <c r="B11" s="14" t="s">
        <v>24</v>
      </c>
      <c r="C11" s="27" t="s">
        <v>25</v>
      </c>
      <c r="D11" s="30" t="s">
        <v>26</v>
      </c>
      <c r="E11" s="31" t="s">
        <v>27</v>
      </c>
      <c r="F11" s="32" t="s">
        <v>53</v>
      </c>
      <c r="G11" s="20" t="s">
        <v>54</v>
      </c>
      <c r="H11" s="20" t="s">
        <v>30</v>
      </c>
      <c r="I11" s="20"/>
      <c r="J11" s="20"/>
      <c r="K11" s="33" t="s">
        <v>32</v>
      </c>
      <c r="L11" s="27" t="s">
        <v>25</v>
      </c>
      <c r="M11" s="27" t="s">
        <v>33</v>
      </c>
      <c r="N11" s="27" t="s">
        <v>34</v>
      </c>
      <c r="O11" s="31" t="s">
        <v>27</v>
      </c>
      <c r="P11" s="32" t="s">
        <v>53</v>
      </c>
      <c r="Q11" s="23" t="str">
        <f t="shared" si="0"/>
        <v>green_max</v>
      </c>
      <c r="R11" s="35" t="s">
        <v>30</v>
      </c>
      <c r="S11" s="20"/>
      <c r="T11" s="33" t="s">
        <v>55</v>
      </c>
      <c r="U11" s="27" t="s">
        <v>37</v>
      </c>
    </row>
    <row r="12" spans="1:21" x14ac:dyDescent="0.35">
      <c r="A12" s="29">
        <v>1.2</v>
      </c>
      <c r="B12" s="14" t="s">
        <v>24</v>
      </c>
      <c r="C12" s="27" t="s">
        <v>25</v>
      </c>
      <c r="D12" s="30" t="s">
        <v>26</v>
      </c>
      <c r="E12" s="31" t="s">
        <v>27</v>
      </c>
      <c r="F12" s="32" t="s">
        <v>56</v>
      </c>
      <c r="G12" s="20" t="s">
        <v>57</v>
      </c>
      <c r="H12" s="20" t="s">
        <v>30</v>
      </c>
      <c r="I12" s="20"/>
      <c r="J12" s="20"/>
      <c r="K12" s="33" t="s">
        <v>32</v>
      </c>
      <c r="L12" s="27" t="s">
        <v>25</v>
      </c>
      <c r="M12" s="27" t="s">
        <v>33</v>
      </c>
      <c r="N12" s="27" t="s">
        <v>34</v>
      </c>
      <c r="O12" s="31" t="s">
        <v>27</v>
      </c>
      <c r="P12" s="32" t="s">
        <v>56</v>
      </c>
      <c r="Q12" s="23" t="str">
        <f t="shared" si="0"/>
        <v>green_min</v>
      </c>
      <c r="R12" s="35" t="s">
        <v>30</v>
      </c>
      <c r="S12" s="20"/>
      <c r="T12" s="33" t="s">
        <v>55</v>
      </c>
      <c r="U12" s="27" t="s">
        <v>37</v>
      </c>
    </row>
    <row r="13" spans="1:21" ht="82" customHeight="1" x14ac:dyDescent="0.35">
      <c r="A13" s="29">
        <v>1.2</v>
      </c>
      <c r="B13" s="14" t="s">
        <v>24</v>
      </c>
      <c r="C13" s="27" t="s">
        <v>25</v>
      </c>
      <c r="D13" s="30" t="s">
        <v>26</v>
      </c>
      <c r="E13" s="31" t="s">
        <v>27</v>
      </c>
      <c r="F13" s="32" t="s">
        <v>58</v>
      </c>
      <c r="G13" s="20" t="s">
        <v>59</v>
      </c>
      <c r="H13" s="20" t="s">
        <v>60</v>
      </c>
      <c r="I13" s="20"/>
      <c r="J13" s="20"/>
      <c r="K13" s="38" t="s">
        <v>61</v>
      </c>
      <c r="L13" s="27" t="s">
        <v>25</v>
      </c>
      <c r="M13" s="27" t="s">
        <v>33</v>
      </c>
      <c r="N13" s="27" t="s">
        <v>34</v>
      </c>
      <c r="O13" s="31" t="s">
        <v>27</v>
      </c>
      <c r="P13" s="32" t="s">
        <v>58</v>
      </c>
      <c r="Q13" s="23" t="str" cm="1">
        <f t="array" ref="Q13">_xlfn.LET(_xlpm.x,CLEAN(SUBSTITUTE(F13,CHAR(160)," ")),_xlpm.y,SUBSTITUTE(SUBSTITUTE(SUBSTITUTE(SUBSTITUTE(SUBSTITUTE(SUBSTITUTE(SUBSTITUTE(_xlpm.x,"("," "),")"," "),"/"," "),"-"," "),"."," "),","," "),":"," "),_xlpm.z,TRIM(_xlpm.y),IF(LEN(_xlpm.z)=0,"(blank)",LOWER(SUBSTITUTE(_xlpm.z," ","_"))))</f>
        <v>in_remediation</v>
      </c>
      <c r="R13" s="35" t="s">
        <v>45</v>
      </c>
      <c r="S13" s="20" t="s">
        <v>62</v>
      </c>
      <c r="T13" s="33" t="s">
        <v>63</v>
      </c>
      <c r="U13" s="27" t="s">
        <v>37</v>
      </c>
    </row>
    <row r="14" spans="1:21" ht="40" customHeight="1" x14ac:dyDescent="0.35">
      <c r="A14" s="29">
        <v>1.2</v>
      </c>
      <c r="B14" s="14" t="s">
        <v>24</v>
      </c>
      <c r="C14" s="27" t="s">
        <v>25</v>
      </c>
      <c r="D14" s="30" t="s">
        <v>26</v>
      </c>
      <c r="E14" s="31" t="s">
        <v>27</v>
      </c>
      <c r="F14" s="32" t="s">
        <v>64</v>
      </c>
      <c r="G14" s="20" t="s">
        <v>65</v>
      </c>
      <c r="H14" s="20" t="s">
        <v>44</v>
      </c>
      <c r="I14" s="20"/>
      <c r="J14" s="20"/>
      <c r="K14" s="33" t="s">
        <v>125</v>
      </c>
      <c r="L14" s="27" t="s">
        <v>25</v>
      </c>
      <c r="M14" s="27" t="s">
        <v>33</v>
      </c>
      <c r="N14" s="27" t="s">
        <v>34</v>
      </c>
      <c r="O14" s="31" t="s">
        <v>27</v>
      </c>
      <c r="P14" s="32" t="s">
        <v>64</v>
      </c>
      <c r="Q14" s="23" t="str">
        <f>_xlfn.LET(_xlpm.x,CLEAN(SUBSTITUTE(F14,CHAR(160)," ")),_xlpm.y,SUBSTITUTE(SUBSTITUTE(SUBSTITUTE(SUBSTITUTE(SUBSTITUTE(SUBSTITUTE(SUBSTITUTE(_xlpm.x,"("," "),")"," "),"/"," "),"-"," "),"."," "),","," "),":"," "),_xlpm.z,TRIM(_xlpm.y),IF(LEN(_xlpm.z)=0,"(blank)",LOWER(SUBSTITUTE(_xlpm.z," ","_"))))</f>
        <v>latest_measurement_date</v>
      </c>
      <c r="R14" s="35" t="s">
        <v>66</v>
      </c>
      <c r="S14" s="20"/>
      <c r="T14" s="33" t="s">
        <v>67</v>
      </c>
      <c r="U14" s="27" t="s">
        <v>37</v>
      </c>
    </row>
    <row r="15" spans="1:21" ht="85" customHeight="1" x14ac:dyDescent="0.35">
      <c r="A15" s="29">
        <v>1.2</v>
      </c>
      <c r="B15" s="14" t="s">
        <v>24</v>
      </c>
      <c r="C15" s="27" t="s">
        <v>25</v>
      </c>
      <c r="D15" s="30" t="s">
        <v>26</v>
      </c>
      <c r="E15" s="31" t="s">
        <v>27</v>
      </c>
      <c r="F15" s="32" t="s">
        <v>68</v>
      </c>
      <c r="G15" s="20" t="s">
        <v>69</v>
      </c>
      <c r="H15" s="20" t="s">
        <v>60</v>
      </c>
      <c r="I15" s="20"/>
      <c r="J15" s="20"/>
      <c r="K15" s="38" t="s">
        <v>126</v>
      </c>
      <c r="L15" s="27" t="s">
        <v>25</v>
      </c>
      <c r="M15" s="27" t="s">
        <v>33</v>
      </c>
      <c r="N15" s="27" t="s">
        <v>34</v>
      </c>
      <c r="O15" s="31" t="s">
        <v>27</v>
      </c>
      <c r="P15" s="32" t="s">
        <v>68</v>
      </c>
      <c r="Q15" s="23" t="str">
        <f>_xlfn.LET(_xlpm.x,CLEAN(SUBSTITUTE(F15,CHAR(160)," ")),_xlpm.y,SUBSTITUTE(SUBSTITUTE(SUBSTITUTE(SUBSTITUTE(SUBSTITUTE(SUBSTITUTE(SUBSTITUTE(_xlpm.x,"("," "),")"," "),"/"," "),"-"," "),"."," "),","," "),":"," "),_xlpm.z,TRIM(_xlpm.y),IF(LEN(_xlpm.z)=0,"(blank)",LOWER(SUBSTITUTE(_xlpm.z," ","_"))))</f>
        <v>measurement_frequency</v>
      </c>
      <c r="R15" s="35" t="s">
        <v>45</v>
      </c>
      <c r="S15" s="20" t="s">
        <v>62</v>
      </c>
      <c r="T15" s="33" t="s">
        <v>63</v>
      </c>
      <c r="U15" s="27" t="s">
        <v>37</v>
      </c>
    </row>
    <row r="16" spans="1:21" ht="167.5" customHeight="1" x14ac:dyDescent="0.35">
      <c r="A16" s="29">
        <v>1.2</v>
      </c>
      <c r="B16" s="14" t="s">
        <v>24</v>
      </c>
      <c r="C16" s="27" t="s">
        <v>25</v>
      </c>
      <c r="D16" s="30" t="s">
        <v>26</v>
      </c>
      <c r="E16" s="31" t="s">
        <v>27</v>
      </c>
      <c r="F16" s="40" t="s">
        <v>70</v>
      </c>
      <c r="G16" s="41" t="s">
        <v>71</v>
      </c>
      <c r="H16" s="20" t="s">
        <v>60</v>
      </c>
      <c r="I16" s="20"/>
      <c r="J16" s="20"/>
      <c r="K16" s="38" t="s">
        <v>127</v>
      </c>
      <c r="L16" s="27" t="s">
        <v>25</v>
      </c>
      <c r="M16" s="27" t="s">
        <v>33</v>
      </c>
      <c r="N16" s="27" t="s">
        <v>34</v>
      </c>
      <c r="O16" s="31" t="s">
        <v>27</v>
      </c>
      <c r="P16" s="40" t="s">
        <v>70</v>
      </c>
      <c r="Q16" s="23" t="s">
        <v>72</v>
      </c>
      <c r="R16" s="35" t="s">
        <v>45</v>
      </c>
      <c r="S16" s="42" t="s">
        <v>73</v>
      </c>
      <c r="T16" s="43" t="s">
        <v>74</v>
      </c>
      <c r="U16" s="27" t="s">
        <v>37</v>
      </c>
    </row>
    <row r="17" spans="1:21" ht="92.5" customHeight="1" x14ac:dyDescent="0.35">
      <c r="A17" s="29">
        <v>1.2</v>
      </c>
      <c r="B17" s="14" t="s">
        <v>24</v>
      </c>
      <c r="C17" s="27" t="s">
        <v>25</v>
      </c>
      <c r="D17" s="30" t="s">
        <v>26</v>
      </c>
      <c r="E17" s="31" t="s">
        <v>27</v>
      </c>
      <c r="F17" s="32" t="s">
        <v>75</v>
      </c>
      <c r="G17" s="20" t="s">
        <v>76</v>
      </c>
      <c r="H17" s="20" t="s">
        <v>60</v>
      </c>
      <c r="I17" s="20"/>
      <c r="J17" s="20"/>
      <c r="K17" s="38" t="s">
        <v>128</v>
      </c>
      <c r="L17" s="27" t="s">
        <v>25</v>
      </c>
      <c r="M17" s="27" t="s">
        <v>33</v>
      </c>
      <c r="N17" s="27" t="s">
        <v>34</v>
      </c>
      <c r="O17" s="31" t="s">
        <v>27</v>
      </c>
      <c r="P17" s="32" t="s">
        <v>75</v>
      </c>
      <c r="Q17" s="23" t="str">
        <f>_xlfn.LET(_xlpm.x,CLEAN(SUBSTITUTE(F17,CHAR(160)," ")),_xlpm.y,SUBSTITUTE(SUBSTITUTE(SUBSTITUTE(SUBSTITUTE(SUBSTITUTE(SUBSTITUTE(SUBSTITUTE(_xlpm.x,"("," "),")"," "),"/"," "),"-"," "),"."," "),","," "),":"," "),_xlpm.z,TRIM(_xlpm.y),IF(LEN(_xlpm.z)=0,"(blank)",LOWER(SUBSTITUTE(_xlpm.z," ","_"))))</f>
        <v>metric_identifier</v>
      </c>
      <c r="R17" s="35" t="s">
        <v>45</v>
      </c>
      <c r="S17" s="20" t="s">
        <v>62</v>
      </c>
      <c r="T17" s="33" t="s">
        <v>63</v>
      </c>
      <c r="U17" s="27" t="s">
        <v>37</v>
      </c>
    </row>
    <row r="18" spans="1:21" x14ac:dyDescent="0.35">
      <c r="A18" s="29">
        <v>1.2</v>
      </c>
      <c r="B18" s="14" t="s">
        <v>24</v>
      </c>
      <c r="C18" s="27" t="s">
        <v>25</v>
      </c>
      <c r="D18" s="30" t="s">
        <v>26</v>
      </c>
      <c r="E18" s="31" t="s">
        <v>27</v>
      </c>
      <c r="F18" s="40" t="s">
        <v>77</v>
      </c>
      <c r="G18" s="41" t="s">
        <v>78</v>
      </c>
      <c r="H18" s="20" t="s">
        <v>44</v>
      </c>
      <c r="I18" s="20"/>
      <c r="J18" s="20"/>
      <c r="K18" s="33" t="s">
        <v>32</v>
      </c>
      <c r="L18" s="27" t="s">
        <v>25</v>
      </c>
      <c r="M18" s="27" t="s">
        <v>33</v>
      </c>
      <c r="N18" s="27" t="s">
        <v>34</v>
      </c>
      <c r="O18" s="31" t="s">
        <v>27</v>
      </c>
      <c r="P18" s="40" t="s">
        <v>77</v>
      </c>
      <c r="Q18" s="23" t="str">
        <f>_xlfn.LET(_xlpm.x,CLEAN(SUBSTITUTE(F18,CHAR(160)," ")),_xlpm.y,SUBSTITUTE(SUBSTITUTE(SUBSTITUTE(SUBSTITUTE(SUBSTITUTE(SUBSTITUTE(SUBSTITUTE(_xlpm.x,"("," "),")"," "),"/"," "),"-"," "),"."," "),","," "),":"," "),_xlpm.z,TRIM(_xlpm.y),IF(LEN(_xlpm.z)=0,"(blank)",LOWER(SUBSTITUTE(_xlpm.z," ","_"))))</f>
        <v>metric_name</v>
      </c>
      <c r="R18" s="35" t="s">
        <v>45</v>
      </c>
      <c r="S18" s="20"/>
      <c r="T18" s="38" t="s">
        <v>79</v>
      </c>
      <c r="U18" s="27" t="s">
        <v>37</v>
      </c>
    </row>
    <row r="19" spans="1:21" ht="79" customHeight="1" x14ac:dyDescent="0.35">
      <c r="A19" s="29">
        <v>1.2</v>
      </c>
      <c r="B19" s="14" t="s">
        <v>24</v>
      </c>
      <c r="C19" s="27" t="s">
        <v>25</v>
      </c>
      <c r="D19" s="30" t="s">
        <v>26</v>
      </c>
      <c r="E19" s="31" t="s">
        <v>27</v>
      </c>
      <c r="F19" s="32" t="s">
        <v>80</v>
      </c>
      <c r="G19" s="20" t="s">
        <v>81</v>
      </c>
      <c r="H19" s="20" t="s">
        <v>60</v>
      </c>
      <c r="I19" s="20"/>
      <c r="J19" s="20"/>
      <c r="K19" s="38" t="s">
        <v>129</v>
      </c>
      <c r="L19" s="27" t="s">
        <v>25</v>
      </c>
      <c r="M19" s="27" t="s">
        <v>33</v>
      </c>
      <c r="N19" s="27" t="s">
        <v>34</v>
      </c>
      <c r="O19" s="31" t="s">
        <v>27</v>
      </c>
      <c r="P19" s="32" t="s">
        <v>80</v>
      </c>
      <c r="Q19" s="23" t="str" cm="1">
        <f t="array" ref="Q19">_xlfn.LET(_xlpm.x,CLEAN(SUBSTITUTE(F19,CHAR(160)," ")),_xlpm.y,SUBSTITUTE(SUBSTITUTE(SUBSTITUTE(SUBSTITUTE(SUBSTITUTE(SUBSTITUTE(SUBSTITUTE(_xlpm.x,"("," "),")"," "),"/"," "),"-"," "),"."," "),","," "),":"," "),_xlpm.z,TRIM(_xlpm.y),IF(LEN(_xlpm.z)=0,"(blank)",LOWER(SUBSTITUTE(_xlpm.z," ","_"))))</f>
        <v>metric_type</v>
      </c>
      <c r="R19" s="35" t="s">
        <v>45</v>
      </c>
      <c r="S19" s="20" t="s">
        <v>62</v>
      </c>
      <c r="T19" s="33" t="s">
        <v>63</v>
      </c>
      <c r="U19" s="27" t="s">
        <v>37</v>
      </c>
    </row>
    <row r="20" spans="1:21" x14ac:dyDescent="0.35">
      <c r="A20" s="29">
        <v>1.2</v>
      </c>
      <c r="B20" s="14" t="s">
        <v>24</v>
      </c>
      <c r="C20" s="27" t="s">
        <v>25</v>
      </c>
      <c r="D20" s="30" t="s">
        <v>26</v>
      </c>
      <c r="E20" s="31" t="s">
        <v>27</v>
      </c>
      <c r="F20" s="40" t="s">
        <v>82</v>
      </c>
      <c r="G20" s="41" t="s">
        <v>83</v>
      </c>
      <c r="H20" s="20" t="s">
        <v>44</v>
      </c>
      <c r="I20" s="20"/>
      <c r="J20" s="20"/>
      <c r="K20" s="33" t="s">
        <v>32</v>
      </c>
      <c r="L20" s="27" t="s">
        <v>25</v>
      </c>
      <c r="M20" s="27" t="s">
        <v>33</v>
      </c>
      <c r="N20" s="27" t="s">
        <v>34</v>
      </c>
      <c r="O20" s="31" t="s">
        <v>27</v>
      </c>
      <c r="P20" s="40" t="s">
        <v>82</v>
      </c>
      <c r="Q20" s="23" t="str">
        <f t="shared" ref="Q20:Q31" si="1">_xlfn.LET(_xlpm.x,CLEAN(SUBSTITUTE(F20,CHAR(160)," ")),_xlpm.y,SUBSTITUTE(SUBSTITUTE(SUBSTITUTE(SUBSTITUTE(SUBSTITUTE(SUBSTITUTE(SUBSTITUTE(_xlpm.x,"("," "),")"," "),"/"," "),"-"," "),"."," "),","," "),":"," "),_xlpm.z,TRIM(_xlpm.y),IF(LEN(_xlpm.z)=0,"(blank)",LOWER(SUBSTITUTE(_xlpm.z," ","_"))))</f>
        <v>p2g_id</v>
      </c>
      <c r="R20" s="35" t="s">
        <v>45</v>
      </c>
      <c r="S20" s="20"/>
      <c r="T20" s="38" t="s">
        <v>79</v>
      </c>
      <c r="U20" s="27" t="s">
        <v>37</v>
      </c>
    </row>
    <row r="21" spans="1:21" x14ac:dyDescent="0.35">
      <c r="A21" s="29">
        <v>1.2</v>
      </c>
      <c r="B21" s="14" t="s">
        <v>24</v>
      </c>
      <c r="C21" s="27" t="s">
        <v>25</v>
      </c>
      <c r="D21" s="30" t="s">
        <v>26</v>
      </c>
      <c r="E21" s="31" t="s">
        <v>27</v>
      </c>
      <c r="F21" s="40" t="s">
        <v>84</v>
      </c>
      <c r="G21" s="41" t="s">
        <v>85</v>
      </c>
      <c r="H21" s="20" t="s">
        <v>44</v>
      </c>
      <c r="I21" s="20"/>
      <c r="J21" s="20"/>
      <c r="K21" s="33" t="s">
        <v>32</v>
      </c>
      <c r="L21" s="27" t="s">
        <v>25</v>
      </c>
      <c r="M21" s="27" t="s">
        <v>33</v>
      </c>
      <c r="N21" s="27" t="s">
        <v>34</v>
      </c>
      <c r="O21" s="31" t="s">
        <v>27</v>
      </c>
      <c r="P21" s="40" t="s">
        <v>84</v>
      </c>
      <c r="Q21" s="23" t="str">
        <f t="shared" si="1"/>
        <v>p2p_id</v>
      </c>
      <c r="R21" s="35" t="s">
        <v>45</v>
      </c>
      <c r="S21" s="20"/>
      <c r="T21" s="38" t="s">
        <v>79</v>
      </c>
      <c r="U21" s="27" t="s">
        <v>37</v>
      </c>
    </row>
    <row r="22" spans="1:21" ht="70" customHeight="1" x14ac:dyDescent="0.35">
      <c r="A22" s="29">
        <v>1.2</v>
      </c>
      <c r="B22" s="14" t="s">
        <v>24</v>
      </c>
      <c r="C22" s="27" t="s">
        <v>25</v>
      </c>
      <c r="D22" s="30" t="s">
        <v>26</v>
      </c>
      <c r="E22" s="31" t="s">
        <v>27</v>
      </c>
      <c r="F22" s="32" t="s">
        <v>86</v>
      </c>
      <c r="G22" s="20" t="s">
        <v>87</v>
      </c>
      <c r="H22" s="20" t="s">
        <v>60</v>
      </c>
      <c r="I22" s="20"/>
      <c r="J22" s="20"/>
      <c r="K22" s="38" t="s">
        <v>130</v>
      </c>
      <c r="L22" s="27" t="s">
        <v>25</v>
      </c>
      <c r="M22" s="27" t="s">
        <v>33</v>
      </c>
      <c r="N22" s="27" t="s">
        <v>34</v>
      </c>
      <c r="O22" s="31" t="s">
        <v>27</v>
      </c>
      <c r="P22" s="32" t="s">
        <v>86</v>
      </c>
      <c r="Q22" s="23" t="str">
        <f t="shared" si="1"/>
        <v>performance_composite</v>
      </c>
      <c r="R22" s="35" t="s">
        <v>45</v>
      </c>
      <c r="S22" s="20" t="s">
        <v>62</v>
      </c>
      <c r="T22" s="33" t="s">
        <v>63</v>
      </c>
      <c r="U22" s="27" t="s">
        <v>37</v>
      </c>
    </row>
    <row r="23" spans="1:21" x14ac:dyDescent="0.35">
      <c r="A23" s="29">
        <v>1.2</v>
      </c>
      <c r="B23" s="14" t="s">
        <v>24</v>
      </c>
      <c r="C23" s="27" t="s">
        <v>25</v>
      </c>
      <c r="D23" s="30" t="s">
        <v>26</v>
      </c>
      <c r="E23" s="31" t="s">
        <v>27</v>
      </c>
      <c r="F23" s="32" t="s">
        <v>88</v>
      </c>
      <c r="G23" s="20" t="s">
        <v>89</v>
      </c>
      <c r="H23" s="20" t="s">
        <v>30</v>
      </c>
      <c r="I23" s="20"/>
      <c r="J23" s="20"/>
      <c r="K23" s="33" t="s">
        <v>32</v>
      </c>
      <c r="L23" s="27" t="s">
        <v>25</v>
      </c>
      <c r="M23" s="27" t="s">
        <v>33</v>
      </c>
      <c r="N23" s="27" t="s">
        <v>34</v>
      </c>
      <c r="O23" s="31" t="s">
        <v>27</v>
      </c>
      <c r="P23" s="32" t="s">
        <v>88</v>
      </c>
      <c r="Q23" s="23" t="str">
        <f t="shared" si="1"/>
        <v>red_max</v>
      </c>
      <c r="R23" s="35" t="s">
        <v>30</v>
      </c>
      <c r="S23" s="20"/>
      <c r="T23" s="33"/>
      <c r="U23" s="27" t="s">
        <v>37</v>
      </c>
    </row>
    <row r="24" spans="1:21" x14ac:dyDescent="0.35">
      <c r="A24" s="29">
        <v>1.2</v>
      </c>
      <c r="B24" s="14" t="s">
        <v>24</v>
      </c>
      <c r="C24" s="27" t="s">
        <v>25</v>
      </c>
      <c r="D24" s="30" t="s">
        <v>26</v>
      </c>
      <c r="E24" s="31" t="s">
        <v>27</v>
      </c>
      <c r="F24" s="32" t="s">
        <v>90</v>
      </c>
      <c r="G24" s="20" t="s">
        <v>91</v>
      </c>
      <c r="H24" s="20" t="s">
        <v>30</v>
      </c>
      <c r="I24" s="20"/>
      <c r="J24" s="20"/>
      <c r="K24" s="33" t="s">
        <v>32</v>
      </c>
      <c r="L24" s="27" t="s">
        <v>25</v>
      </c>
      <c r="M24" s="27" t="s">
        <v>33</v>
      </c>
      <c r="N24" s="27" t="s">
        <v>34</v>
      </c>
      <c r="O24" s="31" t="s">
        <v>27</v>
      </c>
      <c r="P24" s="32" t="s">
        <v>90</v>
      </c>
      <c r="Q24" s="23" t="str">
        <f t="shared" si="1"/>
        <v>red_min</v>
      </c>
      <c r="R24" s="35" t="s">
        <v>30</v>
      </c>
      <c r="S24" s="20"/>
      <c r="T24" s="33"/>
      <c r="U24" s="27" t="s">
        <v>37</v>
      </c>
    </row>
    <row r="25" spans="1:21" s="28" customFormat="1" ht="74.150000000000006" customHeight="1" x14ac:dyDescent="0.35">
      <c r="A25" s="29">
        <v>1.2</v>
      </c>
      <c r="B25" s="14" t="s">
        <v>24</v>
      </c>
      <c r="C25" s="27" t="s">
        <v>25</v>
      </c>
      <c r="D25" s="30" t="s">
        <v>26</v>
      </c>
      <c r="E25" s="31" t="s">
        <v>27</v>
      </c>
      <c r="F25" s="32" t="s">
        <v>92</v>
      </c>
      <c r="G25" s="20" t="s">
        <v>93</v>
      </c>
      <c r="H25" s="20" t="s">
        <v>60</v>
      </c>
      <c r="I25" s="20"/>
      <c r="J25" s="20"/>
      <c r="K25" s="38" t="s">
        <v>131</v>
      </c>
      <c r="L25" s="27" t="s">
        <v>25</v>
      </c>
      <c r="M25" s="27" t="s">
        <v>33</v>
      </c>
      <c r="N25" s="27" t="s">
        <v>34</v>
      </c>
      <c r="O25" s="31" t="s">
        <v>27</v>
      </c>
      <c r="P25" s="32" t="s">
        <v>92</v>
      </c>
      <c r="Q25" s="23" t="str">
        <f t="shared" si="1"/>
        <v>residual_risk_status</v>
      </c>
      <c r="R25" s="35" t="s">
        <v>45</v>
      </c>
      <c r="S25" s="20"/>
      <c r="T25" s="33" t="s">
        <v>63</v>
      </c>
      <c r="U25" s="27" t="s">
        <v>37</v>
      </c>
    </row>
    <row r="26" spans="1:21" ht="58" x14ac:dyDescent="0.35">
      <c r="A26" s="29">
        <v>1.2</v>
      </c>
      <c r="B26" s="14" t="s">
        <v>24</v>
      </c>
      <c r="C26" s="27" t="s">
        <v>25</v>
      </c>
      <c r="D26" s="30" t="s">
        <v>26</v>
      </c>
      <c r="E26" s="31" t="s">
        <v>27</v>
      </c>
      <c r="F26" s="32" t="s">
        <v>94</v>
      </c>
      <c r="G26" s="20" t="s">
        <v>95</v>
      </c>
      <c r="H26" s="20" t="s">
        <v>60</v>
      </c>
      <c r="I26" s="20"/>
      <c r="J26" s="20"/>
      <c r="K26" s="38" t="s">
        <v>132</v>
      </c>
      <c r="L26" s="27" t="s">
        <v>25</v>
      </c>
      <c r="M26" s="27" t="s">
        <v>33</v>
      </c>
      <c r="N26" s="27" t="s">
        <v>34</v>
      </c>
      <c r="O26" s="31" t="s">
        <v>27</v>
      </c>
      <c r="P26" s="32" t="s">
        <v>94</v>
      </c>
      <c r="Q26" s="23" t="str">
        <f t="shared" si="1"/>
        <v>risk_appetite_statement</v>
      </c>
      <c r="R26" s="35" t="s">
        <v>45</v>
      </c>
      <c r="S26" s="20"/>
      <c r="T26" s="33" t="s">
        <v>63</v>
      </c>
      <c r="U26" s="27" t="s">
        <v>37</v>
      </c>
    </row>
    <row r="27" spans="1:21" x14ac:dyDescent="0.35">
      <c r="A27" s="29">
        <v>1.2</v>
      </c>
      <c r="B27" s="36" t="s">
        <v>24</v>
      </c>
      <c r="C27" s="27" t="s">
        <v>25</v>
      </c>
      <c r="D27" s="30" t="s">
        <v>26</v>
      </c>
      <c r="E27" s="31" t="s">
        <v>27</v>
      </c>
      <c r="F27" s="44" t="s">
        <v>96</v>
      </c>
      <c r="G27" s="37" t="s">
        <v>97</v>
      </c>
      <c r="H27" s="20" t="s">
        <v>44</v>
      </c>
      <c r="I27" s="20"/>
      <c r="J27" s="20"/>
      <c r="K27" s="33" t="s">
        <v>32</v>
      </c>
      <c r="L27" s="27" t="s">
        <v>25</v>
      </c>
      <c r="M27" s="27" t="s">
        <v>33</v>
      </c>
      <c r="N27" s="27" t="s">
        <v>34</v>
      </c>
      <c r="O27" s="31" t="s">
        <v>27</v>
      </c>
      <c r="P27" s="44" t="s">
        <v>96</v>
      </c>
      <c r="Q27" s="23" t="str">
        <f>_xlfn.LET(_xlpm.x,CLEAN(SUBSTITUTE(G27,CHAR(160)," ")),_xlpm.y,SUBSTITUTE(SUBSTITUTE(SUBSTITUTE(SUBSTITUTE(SUBSTITUTE(SUBSTITUTE(SUBSTITUTE(_xlpm.x,"("," "),")"," "),"/"," "),"-"," "),"."," "),","," "),":"," "),_xlpm.z,TRIM(_xlpm.y),IF(LEN(_xlpm.z)=0,"(blank)",LOWER(SUBSTITUTE(_xlpm.z," ","_"))))</f>
        <v>helper_segment_name</v>
      </c>
      <c r="R27" s="35" t="s">
        <v>45</v>
      </c>
      <c r="S27" s="42"/>
      <c r="T27" s="38"/>
      <c r="U27" s="27" t="s">
        <v>37</v>
      </c>
    </row>
    <row r="28" spans="1:21" ht="58" x14ac:dyDescent="0.35">
      <c r="A28" s="29">
        <v>1.2</v>
      </c>
      <c r="B28" s="14" t="s">
        <v>24</v>
      </c>
      <c r="C28" s="27" t="s">
        <v>25</v>
      </c>
      <c r="D28" s="30" t="s">
        <v>26</v>
      </c>
      <c r="E28" s="31" t="s">
        <v>27</v>
      </c>
      <c r="F28" s="32" t="s">
        <v>98</v>
      </c>
      <c r="G28" s="20" t="s">
        <v>99</v>
      </c>
      <c r="H28" s="20" t="s">
        <v>60</v>
      </c>
      <c r="I28" s="20"/>
      <c r="J28" s="20"/>
      <c r="K28" s="38" t="s">
        <v>133</v>
      </c>
      <c r="L28" s="27" t="s">
        <v>25</v>
      </c>
      <c r="M28" s="27" t="s">
        <v>33</v>
      </c>
      <c r="N28" s="27" t="s">
        <v>34</v>
      </c>
      <c r="O28" s="31" t="s">
        <v>27</v>
      </c>
      <c r="P28" s="32" t="s">
        <v>98</v>
      </c>
      <c r="Q28" s="23" t="str">
        <f t="shared" si="1"/>
        <v>status</v>
      </c>
      <c r="R28" s="35" t="s">
        <v>45</v>
      </c>
      <c r="S28" s="20" t="s">
        <v>62</v>
      </c>
      <c r="T28" s="33" t="s">
        <v>63</v>
      </c>
      <c r="U28" s="27" t="s">
        <v>37</v>
      </c>
    </row>
    <row r="29" spans="1:21" ht="58" x14ac:dyDescent="0.35">
      <c r="A29" s="29">
        <v>1.2</v>
      </c>
      <c r="B29" s="14" t="s">
        <v>24</v>
      </c>
      <c r="C29" s="27" t="s">
        <v>25</v>
      </c>
      <c r="D29" s="30" t="s">
        <v>26</v>
      </c>
      <c r="E29" s="31" t="s">
        <v>27</v>
      </c>
      <c r="F29" s="32" t="s">
        <v>100</v>
      </c>
      <c r="G29" s="20" t="s">
        <v>101</v>
      </c>
      <c r="H29" s="32" t="s">
        <v>60</v>
      </c>
      <c r="I29" s="20"/>
      <c r="J29" s="32"/>
      <c r="K29" s="33" t="s">
        <v>134</v>
      </c>
      <c r="L29" s="32" t="s">
        <v>25</v>
      </c>
      <c r="M29" s="20" t="s">
        <v>33</v>
      </c>
      <c r="N29" s="27" t="s">
        <v>34</v>
      </c>
      <c r="O29" s="34" t="s">
        <v>27</v>
      </c>
      <c r="P29" s="45" t="s">
        <v>100</v>
      </c>
      <c r="Q29" s="23" t="str">
        <f t="shared" si="1"/>
        <v>unit_of_measure</v>
      </c>
      <c r="R29" s="35" t="s">
        <v>45</v>
      </c>
      <c r="S29" s="20" t="s">
        <v>62</v>
      </c>
      <c r="T29" s="33" t="s">
        <v>63</v>
      </c>
      <c r="U29" s="27" t="s">
        <v>37</v>
      </c>
    </row>
    <row r="30" spans="1:21" ht="83.15" customHeight="1" x14ac:dyDescent="0.35">
      <c r="A30" s="29">
        <v>1.2</v>
      </c>
      <c r="B30" s="14" t="s">
        <v>24</v>
      </c>
      <c r="C30" s="27" t="s">
        <v>25</v>
      </c>
      <c r="D30" s="30" t="s">
        <v>26</v>
      </c>
      <c r="E30" s="31" t="s">
        <v>27</v>
      </c>
      <c r="F30" s="32" t="s">
        <v>102</v>
      </c>
      <c r="G30" s="46" t="s">
        <v>103</v>
      </c>
      <c r="H30" s="32" t="str">
        <f>VLOOKUP(G30,[1]kri_metrics_raw_schema!$A$2:$B$245,2,0)</f>
        <v>array&lt;bigint&gt;</v>
      </c>
      <c r="I30" s="20"/>
      <c r="J30" s="32"/>
      <c r="K30" s="33" t="s">
        <v>135</v>
      </c>
      <c r="L30" s="32" t="s">
        <v>25</v>
      </c>
      <c r="M30" s="20" t="s">
        <v>33</v>
      </c>
      <c r="N30" s="27" t="s">
        <v>34</v>
      </c>
      <c r="O30" s="34" t="s">
        <v>27</v>
      </c>
      <c r="P30" s="32" t="s">
        <v>102</v>
      </c>
      <c r="Q30" s="23" t="str">
        <f t="shared" si="1"/>
        <v>risk_category</v>
      </c>
      <c r="R30" s="35" t="s">
        <v>35</v>
      </c>
      <c r="S30" s="20" t="s">
        <v>62</v>
      </c>
      <c r="T30" s="33" t="s">
        <v>63</v>
      </c>
      <c r="U30" s="27" t="s">
        <v>37</v>
      </c>
    </row>
    <row r="31" spans="1:21" ht="74.150000000000006" customHeight="1" x14ac:dyDescent="0.35">
      <c r="A31" s="29">
        <v>1.2</v>
      </c>
      <c r="B31" s="14" t="s">
        <v>24</v>
      </c>
      <c r="C31" s="27" t="s">
        <v>25</v>
      </c>
      <c r="D31" s="30" t="s">
        <v>26</v>
      </c>
      <c r="E31" s="31" t="s">
        <v>27</v>
      </c>
      <c r="F31" s="2" t="s">
        <v>104</v>
      </c>
      <c r="G31" s="32" t="s">
        <v>105</v>
      </c>
      <c r="H31" s="32" t="str">
        <f>VLOOKUP(G31,[1]kri_metrics_raw_schema!$A$2:$B$245,2,0)</f>
        <v>array&lt;bigint&gt;</v>
      </c>
      <c r="I31" s="20"/>
      <c r="J31" s="32"/>
      <c r="K31" s="33" t="s">
        <v>136</v>
      </c>
      <c r="L31" s="32" t="s">
        <v>25</v>
      </c>
      <c r="M31" s="20" t="s">
        <v>33</v>
      </c>
      <c r="N31" s="27" t="s">
        <v>34</v>
      </c>
      <c r="O31" s="34" t="s">
        <v>27</v>
      </c>
      <c r="P31" s="32" t="s">
        <v>105</v>
      </c>
      <c r="Q31" s="23" t="str">
        <f t="shared" si="1"/>
        <v>business_process</v>
      </c>
      <c r="R31" s="35" t="s">
        <v>45</v>
      </c>
      <c r="S31" s="20" t="s">
        <v>62</v>
      </c>
      <c r="T31" s="33" t="s">
        <v>63</v>
      </c>
      <c r="U31" s="27" t="s">
        <v>37</v>
      </c>
    </row>
    <row r="32" spans="1:21" x14ac:dyDescent="0.35">
      <c r="A32" s="47"/>
      <c r="B32" s="14"/>
      <c r="C32" s="48"/>
      <c r="D32" s="49"/>
      <c r="E32" s="31"/>
      <c r="F32" s="50"/>
      <c r="G32" s="50"/>
      <c r="H32" s="32"/>
      <c r="I32" s="20"/>
      <c r="J32" s="32"/>
      <c r="K32" s="20"/>
      <c r="L32" s="32" t="s">
        <v>25</v>
      </c>
      <c r="M32" s="20" t="s">
        <v>33</v>
      </c>
      <c r="N32" s="27" t="s">
        <v>34</v>
      </c>
      <c r="O32" s="34" t="s">
        <v>27</v>
      </c>
      <c r="P32" s="51"/>
      <c r="Q32" s="52" t="s">
        <v>107</v>
      </c>
      <c r="R32" s="53" t="s">
        <v>66</v>
      </c>
      <c r="S32" s="54" t="s">
        <v>108</v>
      </c>
      <c r="T32" s="55" t="s">
        <v>106</v>
      </c>
      <c r="U32" s="56"/>
    </row>
    <row r="33" spans="1:21" x14ac:dyDescent="0.35">
      <c r="A33" s="47"/>
      <c r="B33" s="14"/>
      <c r="C33" s="48"/>
      <c r="D33" s="49"/>
      <c r="E33" s="31"/>
      <c r="F33" s="50"/>
      <c r="G33" s="50"/>
      <c r="H33" s="50"/>
      <c r="I33" s="50"/>
      <c r="J33" s="50"/>
      <c r="K33" s="57"/>
      <c r="L33" s="48" t="s">
        <v>25</v>
      </c>
      <c r="M33" s="48" t="s">
        <v>33</v>
      </c>
      <c r="N33" s="27" t="s">
        <v>34</v>
      </c>
      <c r="O33" s="34" t="s">
        <v>27</v>
      </c>
      <c r="P33" s="51"/>
      <c r="Q33" s="52" t="s">
        <v>109</v>
      </c>
      <c r="R33" s="53" t="s">
        <v>110</v>
      </c>
      <c r="S33" s="54" t="s">
        <v>111</v>
      </c>
      <c r="T33" s="55" t="s">
        <v>106</v>
      </c>
      <c r="U33" s="56"/>
    </row>
    <row r="34" spans="1:21" x14ac:dyDescent="0.35">
      <c r="A34" s="47">
        <v>1.2</v>
      </c>
      <c r="B34" s="14" t="s">
        <v>24</v>
      </c>
      <c r="C34" s="48" t="s">
        <v>25</v>
      </c>
      <c r="D34" s="49" t="s">
        <v>26</v>
      </c>
      <c r="E34" s="31" t="s">
        <v>27</v>
      </c>
      <c r="F34" s="50"/>
      <c r="G34" s="53" t="s">
        <v>112</v>
      </c>
      <c r="H34" s="53" t="s">
        <v>44</v>
      </c>
      <c r="I34" s="50"/>
      <c r="J34" s="50"/>
      <c r="K34" s="57" t="s">
        <v>32</v>
      </c>
      <c r="L34" s="48" t="s">
        <v>25</v>
      </c>
      <c r="M34" s="48" t="s">
        <v>33</v>
      </c>
      <c r="N34" s="27" t="s">
        <v>34</v>
      </c>
      <c r="O34" s="34" t="s">
        <v>27</v>
      </c>
      <c r="P34" s="51"/>
      <c r="Q34" s="58" t="s">
        <v>112</v>
      </c>
      <c r="R34" s="53" t="s">
        <v>44</v>
      </c>
      <c r="S34" s="54" t="s">
        <v>113</v>
      </c>
      <c r="T34" s="55" t="s">
        <v>106</v>
      </c>
      <c r="U34" s="56" t="s">
        <v>37</v>
      </c>
    </row>
    <row r="35" spans="1:21" x14ac:dyDescent="0.35">
      <c r="A35" s="47">
        <v>1.2</v>
      </c>
      <c r="B35" s="14" t="s">
        <v>24</v>
      </c>
      <c r="C35" s="48" t="s">
        <v>25</v>
      </c>
      <c r="D35" s="49" t="s">
        <v>26</v>
      </c>
      <c r="E35" s="31" t="s">
        <v>27</v>
      </c>
      <c r="F35" s="50"/>
      <c r="G35" s="53" t="s">
        <v>114</v>
      </c>
      <c r="H35" s="53" t="s">
        <v>44</v>
      </c>
      <c r="I35" s="50"/>
      <c r="J35" s="50"/>
      <c r="K35" s="57" t="s">
        <v>32</v>
      </c>
      <c r="L35" s="48" t="s">
        <v>25</v>
      </c>
      <c r="M35" s="48" t="s">
        <v>33</v>
      </c>
      <c r="N35" s="27" t="s">
        <v>34</v>
      </c>
      <c r="O35" s="34" t="s">
        <v>27</v>
      </c>
      <c r="P35" s="51"/>
      <c r="Q35" s="58" t="s">
        <v>114</v>
      </c>
      <c r="R35" s="53" t="s">
        <v>44</v>
      </c>
      <c r="S35" s="54" t="s">
        <v>115</v>
      </c>
      <c r="T35" s="55" t="s">
        <v>106</v>
      </c>
      <c r="U35" s="56" t="s">
        <v>37</v>
      </c>
    </row>
    <row r="36" spans="1:21" ht="15" customHeight="1" x14ac:dyDescent="0.35">
      <c r="A36" s="59">
        <v>1.2</v>
      </c>
      <c r="B36" s="60" t="s">
        <v>24</v>
      </c>
      <c r="C36" s="61" t="s">
        <v>25</v>
      </c>
      <c r="D36" s="62" t="s">
        <v>26</v>
      </c>
      <c r="E36" s="63" t="s">
        <v>27</v>
      </c>
      <c r="F36" s="64"/>
      <c r="G36" s="65" t="s">
        <v>116</v>
      </c>
      <c r="H36" s="65" t="s">
        <v>117</v>
      </c>
      <c r="I36" s="64"/>
      <c r="J36" s="64"/>
      <c r="K36" s="57" t="s">
        <v>32</v>
      </c>
      <c r="L36" s="61" t="s">
        <v>25</v>
      </c>
      <c r="M36" s="61" t="s">
        <v>33</v>
      </c>
      <c r="N36" s="66" t="s">
        <v>34</v>
      </c>
      <c r="O36" s="67" t="s">
        <v>27</v>
      </c>
      <c r="P36" s="68"/>
      <c r="Q36" s="69" t="s">
        <v>116</v>
      </c>
      <c r="R36" s="65" t="s">
        <v>117</v>
      </c>
      <c r="S36" s="70" t="s">
        <v>118</v>
      </c>
      <c r="T36" s="71" t="s">
        <v>106</v>
      </c>
      <c r="U36" s="72" t="s">
        <v>37</v>
      </c>
    </row>
    <row r="37" spans="1:21" ht="15" customHeight="1" x14ac:dyDescent="0.35">
      <c r="A37" s="73">
        <v>1.2</v>
      </c>
      <c r="B37" s="74" t="s">
        <v>24</v>
      </c>
      <c r="C37" s="42" t="s">
        <v>25</v>
      </c>
      <c r="D37" s="75" t="s">
        <v>26</v>
      </c>
      <c r="E37" s="31" t="s">
        <v>27</v>
      </c>
      <c r="F37" s="20"/>
      <c r="G37" s="76" t="s">
        <v>119</v>
      </c>
      <c r="H37" s="76" t="s">
        <v>120</v>
      </c>
      <c r="I37" s="20"/>
      <c r="J37" s="20"/>
      <c r="K37" s="57" t="s">
        <v>32</v>
      </c>
      <c r="L37" s="42" t="s">
        <v>25</v>
      </c>
      <c r="M37" s="42" t="s">
        <v>33</v>
      </c>
      <c r="N37" s="27" t="s">
        <v>34</v>
      </c>
      <c r="O37" s="34" t="s">
        <v>27</v>
      </c>
      <c r="P37" s="31"/>
      <c r="Q37" s="78" t="s">
        <v>121</v>
      </c>
      <c r="R37" s="79" t="s">
        <v>120</v>
      </c>
      <c r="S37" s="20" t="s">
        <v>122</v>
      </c>
      <c r="T37" s="33" t="s">
        <v>106</v>
      </c>
      <c r="U37" s="80" t="s">
        <v>37</v>
      </c>
    </row>
    <row r="38" spans="1:21" ht="15" customHeight="1" x14ac:dyDescent="0.35">
      <c r="A38" s="73">
        <v>1.2</v>
      </c>
      <c r="B38" s="74" t="s">
        <v>24</v>
      </c>
      <c r="C38" s="42" t="s">
        <v>25</v>
      </c>
      <c r="D38" s="75" t="s">
        <v>26</v>
      </c>
      <c r="E38" s="31" t="s">
        <v>27</v>
      </c>
      <c r="F38" s="20"/>
      <c r="G38" s="76" t="s">
        <v>119</v>
      </c>
      <c r="H38" s="76" t="s">
        <v>120</v>
      </c>
      <c r="I38" s="20"/>
      <c r="J38" s="20"/>
      <c r="K38" s="77" t="s">
        <v>137</v>
      </c>
      <c r="L38" s="42" t="s">
        <v>25</v>
      </c>
      <c r="M38" s="42" t="s">
        <v>33</v>
      </c>
      <c r="N38" s="27" t="s">
        <v>34</v>
      </c>
      <c r="O38" s="34" t="s">
        <v>27</v>
      </c>
      <c r="P38" s="31"/>
      <c r="Q38" s="78" t="s">
        <v>123</v>
      </c>
      <c r="R38" s="79" t="s">
        <v>110</v>
      </c>
      <c r="S38" s="20" t="s">
        <v>124</v>
      </c>
      <c r="T38" s="33" t="s">
        <v>106</v>
      </c>
      <c r="U38" s="80" t="s">
        <v>37</v>
      </c>
    </row>
  </sheetData>
  <mergeCells count="3">
    <mergeCell ref="A1:J2"/>
    <mergeCell ref="K1:U2"/>
    <mergeCell ref="A3:J3"/>
  </mergeCells>
  <pageMargins left="0.7" right="0.7" top="0.75" bottom="0.75" header="0.3" footer="0.3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6587-8C1C-4719-BA35-5B001B3259CD}">
  <dimension ref="A1:U31"/>
  <sheetViews>
    <sheetView topLeftCell="A20" zoomScale="60" zoomScaleNormal="60" workbookViewId="0">
      <selection activeCell="F36" sqref="F36"/>
    </sheetView>
  </sheetViews>
  <sheetFormatPr defaultRowHeight="14.5" x14ac:dyDescent="0.35"/>
  <cols>
    <col min="1" max="1" width="9.1796875" style="2" bestFit="1" customWidth="1"/>
    <col min="2" max="2" width="9.1796875" style="2" customWidth="1"/>
    <col min="3" max="3" width="20.54296875" style="2" customWidth="1"/>
    <col min="4" max="4" width="23.81640625" style="2" customWidth="1"/>
    <col min="5" max="5" width="22.54296875" style="2" bestFit="1" customWidth="1"/>
    <col min="6" max="6" width="41.26953125" style="2" bestFit="1" customWidth="1"/>
    <col min="7" max="7" width="38.54296875" style="2" customWidth="1"/>
    <col min="8" max="8" width="23.453125" style="2" customWidth="1"/>
    <col min="9" max="9" width="8.1796875" style="2" bestFit="1" customWidth="1"/>
    <col min="10" max="10" width="12.1796875" style="2" bestFit="1" customWidth="1"/>
    <col min="11" max="11" width="59" style="39" customWidth="1"/>
    <col min="12" max="12" width="20.26953125" style="2" bestFit="1" customWidth="1"/>
    <col min="13" max="13" width="19.7265625" style="2" bestFit="1" customWidth="1"/>
    <col min="14" max="14" width="17.453125" style="2" bestFit="1" customWidth="1"/>
    <col min="15" max="15" width="14" style="2" bestFit="1" customWidth="1"/>
    <col min="16" max="16" width="29.81640625" style="2" customWidth="1"/>
    <col min="17" max="17" width="35.7265625" style="2" bestFit="1" customWidth="1"/>
    <col min="18" max="18" width="11" style="2" bestFit="1" customWidth="1"/>
    <col min="19" max="19" width="54.7265625" style="2" customWidth="1"/>
    <col min="20" max="20" width="46.453125" style="39" customWidth="1"/>
    <col min="21" max="21" width="24.26953125" style="2" bestFit="1" customWidth="1"/>
    <col min="22" max="16383" width="8.7265625" style="2"/>
    <col min="16384" max="16384" width="9.1796875" style="2" bestFit="1" customWidth="1"/>
  </cols>
  <sheetData>
    <row r="1" spans="1:21" x14ac:dyDescent="0.35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3" t="s">
        <v>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</row>
    <row r="2" spans="1:21" x14ac:dyDescent="0.35">
      <c r="A2" s="202"/>
      <c r="B2" s="202"/>
      <c r="C2" s="202"/>
      <c r="D2" s="202"/>
      <c r="E2" s="202"/>
      <c r="F2" s="202"/>
      <c r="G2" s="202"/>
      <c r="H2" s="202"/>
      <c r="I2" s="202"/>
      <c r="J2" s="202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</row>
    <row r="3" spans="1:21" ht="22.5" x14ac:dyDescent="0.35">
      <c r="A3" s="207" t="s">
        <v>2</v>
      </c>
      <c r="B3" s="207"/>
      <c r="C3" s="207"/>
      <c r="D3" s="207"/>
      <c r="E3" s="207"/>
      <c r="F3" s="207"/>
      <c r="G3" s="207"/>
      <c r="H3" s="207"/>
      <c r="I3" s="207"/>
      <c r="J3" s="207"/>
      <c r="K3" s="3"/>
      <c r="L3" s="1"/>
      <c r="M3" s="1"/>
      <c r="N3" s="1"/>
      <c r="O3" s="1"/>
      <c r="P3" s="1"/>
      <c r="Q3" s="1"/>
      <c r="R3" s="1"/>
      <c r="S3" s="1"/>
      <c r="T3" s="82"/>
      <c r="U3" s="5"/>
    </row>
    <row r="4" spans="1:21" s="28" customFormat="1" ht="16" x14ac:dyDescent="0.3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142</v>
      </c>
      <c r="G4" s="7" t="s">
        <v>9</v>
      </c>
      <c r="H4" s="7" t="s">
        <v>10</v>
      </c>
      <c r="I4" s="7" t="s">
        <v>11</v>
      </c>
      <c r="J4" s="7" t="s">
        <v>12</v>
      </c>
      <c r="K4" s="9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143</v>
      </c>
      <c r="T4" s="82" t="s">
        <v>22</v>
      </c>
      <c r="U4" s="12" t="s">
        <v>23</v>
      </c>
    </row>
    <row r="5" spans="1:21" s="28" customFormat="1" ht="15.5" x14ac:dyDescent="0.35">
      <c r="A5" s="83">
        <v>1.2</v>
      </c>
      <c r="B5" s="84" t="s">
        <v>24</v>
      </c>
      <c r="C5" s="85" t="s">
        <v>25</v>
      </c>
      <c r="D5" s="86" t="s">
        <v>26</v>
      </c>
      <c r="E5" s="87" t="s">
        <v>144</v>
      </c>
      <c r="F5" s="88" t="s">
        <v>145</v>
      </c>
      <c r="G5" s="88" t="s">
        <v>146</v>
      </c>
      <c r="H5" s="89" t="s">
        <v>35</v>
      </c>
      <c r="I5" s="87" t="s">
        <v>31</v>
      </c>
      <c r="J5" s="89"/>
      <c r="K5" s="90" t="s">
        <v>32</v>
      </c>
      <c r="L5" s="85" t="s">
        <v>25</v>
      </c>
      <c r="M5" s="85" t="s">
        <v>33</v>
      </c>
      <c r="N5" s="85" t="s">
        <v>34</v>
      </c>
      <c r="O5" s="87" t="s">
        <v>144</v>
      </c>
      <c r="P5" s="88" t="str">
        <f>VLOOKUP(F5,F5:F24,1,0)</f>
        <v>Risk ID</v>
      </c>
      <c r="Q5" s="85" t="str" cm="1">
        <f t="array" ref="Q5">_xlfn.LET(_xlpm.x,CLEAN(SUBSTITUTE(F5,CHAR(160)," ")),_xlpm.y,SUBSTITUTE(SUBSTITUTE(SUBSTITUTE(SUBSTITUTE(SUBSTITUTE(SUBSTITUTE(SUBSTITUTE(_xlpm.x,"("," "),")"," "),"/"," "),"-"," "),"."," "),","," "),":"," "),_xlpm.z,TRIM(_xlpm.y),IF(LEN(_xlpm.z)=0,"(blank)",LOWER(SUBSTITUTE(_xlpm.z," ","_"))))</f>
        <v>risk_id</v>
      </c>
      <c r="R5" s="87" t="s">
        <v>35</v>
      </c>
      <c r="S5" s="87"/>
      <c r="T5" s="90"/>
      <c r="U5" s="85" t="s">
        <v>37</v>
      </c>
    </row>
    <row r="6" spans="1:21" ht="15.5" x14ac:dyDescent="0.35">
      <c r="A6" s="91">
        <v>1.2</v>
      </c>
      <c r="B6" s="84" t="s">
        <v>24</v>
      </c>
      <c r="C6" s="84" t="s">
        <v>25</v>
      </c>
      <c r="D6" s="92" t="s">
        <v>26</v>
      </c>
      <c r="E6" s="93" t="s">
        <v>144</v>
      </c>
      <c r="F6" s="94" t="s">
        <v>147</v>
      </c>
      <c r="G6" s="84" t="s">
        <v>148</v>
      </c>
      <c r="H6" s="95" t="s">
        <v>44</v>
      </c>
      <c r="I6" s="95"/>
      <c r="J6" s="95"/>
      <c r="K6" s="96" t="s">
        <v>32</v>
      </c>
      <c r="L6" s="84" t="s">
        <v>25</v>
      </c>
      <c r="M6" s="84" t="s">
        <v>33</v>
      </c>
      <c r="N6" s="84" t="s">
        <v>34</v>
      </c>
      <c r="O6" s="93" t="s">
        <v>144</v>
      </c>
      <c r="P6" s="97" t="str">
        <f t="shared" ref="P6:P11" si="0">VLOOKUP(F6,F6:F26,1,0)</f>
        <v>Common Unit Name</v>
      </c>
      <c r="Q6" s="84" t="s">
        <v>149</v>
      </c>
      <c r="R6" s="95" t="s">
        <v>45</v>
      </c>
      <c r="S6" s="95"/>
      <c r="T6" s="96" t="s">
        <v>47</v>
      </c>
      <c r="U6" s="84" t="s">
        <v>37</v>
      </c>
    </row>
    <row r="7" spans="1:21" ht="108.5" x14ac:dyDescent="0.35">
      <c r="A7" s="91">
        <v>1.2</v>
      </c>
      <c r="B7" s="84" t="s">
        <v>24</v>
      </c>
      <c r="C7" s="84" t="s">
        <v>25</v>
      </c>
      <c r="D7" s="92" t="s">
        <v>26</v>
      </c>
      <c r="E7" s="93" t="s">
        <v>144</v>
      </c>
      <c r="F7" s="98" t="s">
        <v>150</v>
      </c>
      <c r="G7" s="98" t="s">
        <v>151</v>
      </c>
      <c r="H7" s="95" t="s">
        <v>60</v>
      </c>
      <c r="I7" s="95"/>
      <c r="J7" s="95"/>
      <c r="K7" s="96" t="s">
        <v>188</v>
      </c>
      <c r="L7" s="84" t="s">
        <v>25</v>
      </c>
      <c r="M7" s="84" t="s">
        <v>33</v>
      </c>
      <c r="N7" s="84" t="s">
        <v>34</v>
      </c>
      <c r="O7" s="93" t="s">
        <v>144</v>
      </c>
      <c r="P7" s="97" t="str">
        <f t="shared" si="0"/>
        <v>Inherent Risk Rating</v>
      </c>
      <c r="Q7" s="84" t="str">
        <f t="shared" ref="Q7:Q12" si="1">_xlfn.LET(_xlpm.x,CLEAN(SUBSTITUTE(F7,CHAR(160)," ")),_xlpm.y,SUBSTITUTE(SUBSTITUTE(SUBSTITUTE(SUBSTITUTE(SUBSTITUTE(SUBSTITUTE(SUBSTITUTE(_xlpm.x,"("," "),")"," "),"/"," "),"-"," "),"."," "),","," "),":"," "),_xlpm.z,TRIM(_xlpm.y),IF(LEN(_xlpm.z)=0,"(blank)",LOWER(SUBSTITUTE(_xlpm.z," ","_"))))</f>
        <v>inherent_risk_rating</v>
      </c>
      <c r="R7" s="95" t="s">
        <v>45</v>
      </c>
      <c r="S7" s="95"/>
      <c r="T7" s="99" t="s">
        <v>63</v>
      </c>
      <c r="U7" s="84" t="s">
        <v>37</v>
      </c>
    </row>
    <row r="8" spans="1:21" ht="108.5" x14ac:dyDescent="0.35">
      <c r="A8" s="91">
        <v>1.2</v>
      </c>
      <c r="B8" s="84" t="s">
        <v>24</v>
      </c>
      <c r="C8" s="84" t="s">
        <v>25</v>
      </c>
      <c r="D8" s="92" t="s">
        <v>26</v>
      </c>
      <c r="E8" s="93" t="s">
        <v>144</v>
      </c>
      <c r="F8" s="97" t="s">
        <v>152</v>
      </c>
      <c r="G8" s="100" t="s">
        <v>153</v>
      </c>
      <c r="H8" s="95" t="s">
        <v>60</v>
      </c>
      <c r="I8" s="95"/>
      <c r="J8" s="95"/>
      <c r="K8" s="96" t="s">
        <v>189</v>
      </c>
      <c r="L8" s="84" t="s">
        <v>25</v>
      </c>
      <c r="M8" s="84" t="s">
        <v>33</v>
      </c>
      <c r="N8" s="84" t="s">
        <v>34</v>
      </c>
      <c r="O8" s="93" t="s">
        <v>144</v>
      </c>
      <c r="P8" s="97" t="str">
        <f t="shared" si="0"/>
        <v>Residual Risk Rating</v>
      </c>
      <c r="Q8" s="84" t="str">
        <f t="shared" si="1"/>
        <v>residual_risk_rating</v>
      </c>
      <c r="R8" s="95" t="s">
        <v>45</v>
      </c>
      <c r="S8" s="95"/>
      <c r="T8" s="99" t="s">
        <v>63</v>
      </c>
      <c r="U8" s="84" t="s">
        <v>37</v>
      </c>
    </row>
    <row r="9" spans="1:21" ht="15.5" x14ac:dyDescent="0.35">
      <c r="A9" s="91">
        <v>1.2</v>
      </c>
      <c r="B9" s="84" t="s">
        <v>24</v>
      </c>
      <c r="C9" s="84" t="s">
        <v>25</v>
      </c>
      <c r="D9" s="92" t="s">
        <v>26</v>
      </c>
      <c r="E9" s="93" t="s">
        <v>144</v>
      </c>
      <c r="F9" s="84" t="s">
        <v>154</v>
      </c>
      <c r="G9" s="84" t="s">
        <v>155</v>
      </c>
      <c r="H9" s="95" t="s">
        <v>44</v>
      </c>
      <c r="I9" s="95"/>
      <c r="J9" s="95"/>
      <c r="K9" s="96" t="s">
        <v>32</v>
      </c>
      <c r="L9" s="84" t="s">
        <v>25</v>
      </c>
      <c r="M9" s="84" t="s">
        <v>33</v>
      </c>
      <c r="N9" s="84" t="s">
        <v>34</v>
      </c>
      <c r="O9" s="93" t="s">
        <v>144</v>
      </c>
      <c r="P9" s="97" t="str">
        <f t="shared" si="0"/>
        <v>Business Process Name</v>
      </c>
      <c r="Q9" s="84" t="str">
        <f t="shared" si="1"/>
        <v>business_process_name</v>
      </c>
      <c r="R9" s="95" t="s">
        <v>45</v>
      </c>
      <c r="S9" s="95"/>
      <c r="T9" s="99" t="s">
        <v>47</v>
      </c>
      <c r="U9" s="84" t="s">
        <v>37</v>
      </c>
    </row>
    <row r="10" spans="1:21" ht="15.5" x14ac:dyDescent="0.35">
      <c r="A10" s="91">
        <v>1.2</v>
      </c>
      <c r="B10" s="84" t="s">
        <v>24</v>
      </c>
      <c r="C10" s="84" t="s">
        <v>25</v>
      </c>
      <c r="D10" s="92" t="s">
        <v>26</v>
      </c>
      <c r="E10" s="93" t="s">
        <v>144</v>
      </c>
      <c r="F10" s="98" t="s">
        <v>156</v>
      </c>
      <c r="G10" s="98" t="s">
        <v>157</v>
      </c>
      <c r="H10" s="95" t="s">
        <v>44</v>
      </c>
      <c r="I10" s="95"/>
      <c r="J10" s="95"/>
      <c r="K10" s="96" t="s">
        <v>32</v>
      </c>
      <c r="L10" s="84" t="s">
        <v>25</v>
      </c>
      <c r="M10" s="84" t="s">
        <v>33</v>
      </c>
      <c r="N10" s="84" t="s">
        <v>34</v>
      </c>
      <c r="O10" s="93" t="s">
        <v>144</v>
      </c>
      <c r="P10" s="97" t="str">
        <f t="shared" si="0"/>
        <v>Risk Category Level I Name</v>
      </c>
      <c r="Q10" s="84" t="str">
        <f t="shared" si="1"/>
        <v>risk_category_level_i_name</v>
      </c>
      <c r="R10" s="95" t="s">
        <v>45</v>
      </c>
      <c r="S10" s="95"/>
      <c r="T10" s="99" t="s">
        <v>79</v>
      </c>
      <c r="U10" s="84" t="s">
        <v>37</v>
      </c>
    </row>
    <row r="11" spans="1:21" ht="15.5" x14ac:dyDescent="0.35">
      <c r="A11" s="91">
        <v>1.2</v>
      </c>
      <c r="B11" s="84" t="s">
        <v>24</v>
      </c>
      <c r="C11" s="84" t="s">
        <v>25</v>
      </c>
      <c r="D11" s="92" t="s">
        <v>26</v>
      </c>
      <c r="E11" s="93" t="s">
        <v>144</v>
      </c>
      <c r="F11" s="98" t="s">
        <v>158</v>
      </c>
      <c r="G11" s="98" t="s">
        <v>159</v>
      </c>
      <c r="H11" s="95" t="s">
        <v>44</v>
      </c>
      <c r="I11" s="95"/>
      <c r="J11" s="95"/>
      <c r="K11" s="96" t="s">
        <v>32</v>
      </c>
      <c r="L11" s="84" t="s">
        <v>25</v>
      </c>
      <c r="M11" s="84" t="s">
        <v>33</v>
      </c>
      <c r="N11" s="84" t="s">
        <v>34</v>
      </c>
      <c r="O11" s="93" t="s">
        <v>144</v>
      </c>
      <c r="P11" s="97" t="str">
        <f t="shared" si="0"/>
        <v>Risk Category Level II Name</v>
      </c>
      <c r="Q11" s="84" t="str">
        <f t="shared" si="1"/>
        <v>risk_category_level_ii_name</v>
      </c>
      <c r="R11" s="95" t="s">
        <v>45</v>
      </c>
      <c r="S11" s="95"/>
      <c r="T11" s="99" t="s">
        <v>79</v>
      </c>
      <c r="U11" s="84" t="s">
        <v>37</v>
      </c>
    </row>
    <row r="12" spans="1:21" ht="15.5" x14ac:dyDescent="0.35">
      <c r="A12" s="91">
        <v>1.2</v>
      </c>
      <c r="B12" s="84" t="s">
        <v>24</v>
      </c>
      <c r="C12" s="84" t="s">
        <v>25</v>
      </c>
      <c r="D12" s="92" t="s">
        <v>26</v>
      </c>
      <c r="E12" s="93" t="s">
        <v>144</v>
      </c>
      <c r="F12" s="98" t="s">
        <v>160</v>
      </c>
      <c r="G12" s="84" t="s">
        <v>161</v>
      </c>
      <c r="H12" s="95" t="s">
        <v>44</v>
      </c>
      <c r="I12" s="95"/>
      <c r="J12" s="95"/>
      <c r="K12" s="96" t="s">
        <v>32</v>
      </c>
      <c r="L12" s="84" t="s">
        <v>25</v>
      </c>
      <c r="M12" s="84" t="s">
        <v>33</v>
      </c>
      <c r="N12" s="84" t="s">
        <v>34</v>
      </c>
      <c r="O12" s="93" t="s">
        <v>144</v>
      </c>
      <c r="P12" s="97" t="str">
        <f t="shared" ref="P12" si="2">VLOOKUP(F12,F12:F31,1,0)</f>
        <v>Risk Category Level III Name</v>
      </c>
      <c r="Q12" s="84" t="str">
        <f t="shared" si="1"/>
        <v>risk_category_level_iii_name</v>
      </c>
      <c r="R12" s="95" t="s">
        <v>45</v>
      </c>
      <c r="S12" s="95"/>
      <c r="T12" s="99" t="s">
        <v>79</v>
      </c>
      <c r="U12" s="84" t="s">
        <v>37</v>
      </c>
    </row>
    <row r="13" spans="1:21" ht="15.5" x14ac:dyDescent="0.35">
      <c r="A13" s="91">
        <v>1.2</v>
      </c>
      <c r="B13" s="84" t="s">
        <v>24</v>
      </c>
      <c r="C13" s="84" t="s">
        <v>25</v>
      </c>
      <c r="D13" s="92" t="s">
        <v>26</v>
      </c>
      <c r="E13" s="93" t="s">
        <v>144</v>
      </c>
      <c r="F13" s="98" t="s">
        <v>162</v>
      </c>
      <c r="G13" s="98" t="s">
        <v>163</v>
      </c>
      <c r="H13" s="95" t="s">
        <v>44</v>
      </c>
      <c r="I13" s="95"/>
      <c r="J13" s="95"/>
      <c r="K13" s="96" t="s">
        <v>32</v>
      </c>
      <c r="L13" s="84" t="s">
        <v>25</v>
      </c>
      <c r="M13" s="84" t="s">
        <v>33</v>
      </c>
      <c r="N13" s="84" t="s">
        <v>34</v>
      </c>
      <c r="O13" s="93" t="s">
        <v>144</v>
      </c>
      <c r="P13" s="97" t="str">
        <f t="shared" ref="P13:P14" si="3">VLOOKUP(F13,F13:F31,1,0)</f>
        <v>Risk Description</v>
      </c>
      <c r="Q13" s="84" t="str" cm="1">
        <f t="array" ref="Q13">_xlfn.LET(_xlpm.x,CLEAN(SUBSTITUTE(F13,CHAR(160)," ")),_xlpm.y,SUBSTITUTE(SUBSTITUTE(SUBSTITUTE(SUBSTITUTE(SUBSTITUTE(SUBSTITUTE(SUBSTITUTE(_xlpm.x,"("," "),")"," "),"/"," "),"-"," "),"."," "),","," "),":"," "),_xlpm.z,TRIM(_xlpm.y),IF(LEN(_xlpm.z)=0,"(blank)",LOWER(SUBSTITUTE(_xlpm.z," ","_"))))</f>
        <v>risk_description</v>
      </c>
      <c r="R13" s="95" t="s">
        <v>45</v>
      </c>
      <c r="S13" s="95"/>
      <c r="T13" s="99" t="s">
        <v>79</v>
      </c>
      <c r="U13" s="84" t="s">
        <v>37</v>
      </c>
    </row>
    <row r="14" spans="1:21" ht="108.5" x14ac:dyDescent="0.35">
      <c r="A14" s="91">
        <v>1.2</v>
      </c>
      <c r="B14" s="84" t="s">
        <v>24</v>
      </c>
      <c r="C14" s="84" t="s">
        <v>25</v>
      </c>
      <c r="D14" s="92" t="s">
        <v>26</v>
      </c>
      <c r="E14" s="93" t="s">
        <v>144</v>
      </c>
      <c r="F14" s="98" t="s">
        <v>164</v>
      </c>
      <c r="G14" s="98" t="s">
        <v>165</v>
      </c>
      <c r="H14" s="95" t="s">
        <v>60</v>
      </c>
      <c r="I14" s="95"/>
      <c r="J14" s="95"/>
      <c r="K14" s="96" t="s">
        <v>190</v>
      </c>
      <c r="L14" s="84" t="s">
        <v>25</v>
      </c>
      <c r="M14" s="84" t="s">
        <v>33</v>
      </c>
      <c r="N14" s="84" t="s">
        <v>34</v>
      </c>
      <c r="O14" s="93" t="s">
        <v>144</v>
      </c>
      <c r="P14" s="97" t="str">
        <f t="shared" si="3"/>
        <v>Risk Owner</v>
      </c>
      <c r="Q14" s="84" t="str">
        <f t="shared" ref="Q14:Q16" si="4">_xlfn.LET(_xlpm.x,CLEAN(SUBSTITUTE(F14,CHAR(160)," ")),_xlpm.y,SUBSTITUTE(SUBSTITUTE(SUBSTITUTE(SUBSTITUTE(SUBSTITUTE(SUBSTITUTE(SUBSTITUTE(_xlpm.x,"("," "),")"," "),"/"," "),"-"," "),"."," "),","," "),":"," "),_xlpm.z,TRIM(_xlpm.y),IF(LEN(_xlpm.z)=0,"(blank)",LOWER(SUBSTITUTE(_xlpm.z," ","_"))))</f>
        <v>risk_owner</v>
      </c>
      <c r="R14" s="95" t="s">
        <v>45</v>
      </c>
      <c r="S14" s="95"/>
      <c r="T14" s="99" t="s">
        <v>63</v>
      </c>
      <c r="U14" s="84" t="s">
        <v>37</v>
      </c>
    </row>
    <row r="15" spans="1:21" ht="15.5" x14ac:dyDescent="0.35">
      <c r="A15" s="91">
        <v>1.2</v>
      </c>
      <c r="B15" s="84" t="s">
        <v>24</v>
      </c>
      <c r="C15" s="84" t="s">
        <v>25</v>
      </c>
      <c r="D15" s="92" t="s">
        <v>26</v>
      </c>
      <c r="E15" s="93" t="s">
        <v>144</v>
      </c>
      <c r="F15" s="98" t="s">
        <v>166</v>
      </c>
      <c r="G15" s="98" t="s">
        <v>167</v>
      </c>
      <c r="H15" s="95" t="s">
        <v>44</v>
      </c>
      <c r="I15" s="95"/>
      <c r="J15" s="95"/>
      <c r="K15" s="96" t="s">
        <v>32</v>
      </c>
      <c r="L15" s="84" t="s">
        <v>25</v>
      </c>
      <c r="M15" s="84" t="s">
        <v>33</v>
      </c>
      <c r="N15" s="84" t="s">
        <v>34</v>
      </c>
      <c r="O15" s="93" t="s">
        <v>144</v>
      </c>
      <c r="P15" s="97" t="str">
        <f>VLOOKUP(F15,F15:F32,1,0)</f>
        <v>Segment</v>
      </c>
      <c r="Q15" s="84" t="str">
        <f t="shared" si="4"/>
        <v>segment</v>
      </c>
      <c r="R15" s="95" t="s">
        <v>45</v>
      </c>
      <c r="S15" s="95"/>
      <c r="T15" s="99" t="s">
        <v>79</v>
      </c>
      <c r="U15" s="84" t="s">
        <v>37</v>
      </c>
    </row>
    <row r="16" spans="1:21" ht="108.5" x14ac:dyDescent="0.35">
      <c r="A16" s="91">
        <v>1.2</v>
      </c>
      <c r="B16" s="84" t="s">
        <v>24</v>
      </c>
      <c r="C16" s="84" t="s">
        <v>25</v>
      </c>
      <c r="D16" s="92" t="s">
        <v>26</v>
      </c>
      <c r="E16" s="93" t="s">
        <v>144</v>
      </c>
      <c r="F16" s="98" t="s">
        <v>98</v>
      </c>
      <c r="G16" s="98" t="s">
        <v>99</v>
      </c>
      <c r="H16" s="95" t="s">
        <v>60</v>
      </c>
      <c r="I16" s="95"/>
      <c r="J16" s="95"/>
      <c r="K16" s="96" t="s">
        <v>133</v>
      </c>
      <c r="L16" s="84" t="s">
        <v>25</v>
      </c>
      <c r="M16" s="84" t="s">
        <v>33</v>
      </c>
      <c r="N16" s="84" t="s">
        <v>34</v>
      </c>
      <c r="O16" s="93" t="s">
        <v>144</v>
      </c>
      <c r="P16" s="97" t="str">
        <f>VLOOKUP(F16,F16:F32,1,0)</f>
        <v>Status</v>
      </c>
      <c r="Q16" s="84" t="str">
        <f t="shared" si="4"/>
        <v>status</v>
      </c>
      <c r="R16" s="95" t="s">
        <v>45</v>
      </c>
      <c r="S16" s="95"/>
      <c r="T16" s="99" t="s">
        <v>63</v>
      </c>
      <c r="U16" s="84" t="s">
        <v>37</v>
      </c>
    </row>
    <row r="17" spans="1:21" ht="15.5" x14ac:dyDescent="0.35">
      <c r="A17" s="91">
        <v>1.2</v>
      </c>
      <c r="B17" s="84" t="s">
        <v>24</v>
      </c>
      <c r="C17" s="84" t="s">
        <v>25</v>
      </c>
      <c r="D17" s="92" t="s">
        <v>26</v>
      </c>
      <c r="E17" s="93" t="s">
        <v>144</v>
      </c>
      <c r="F17" s="84" t="s">
        <v>168</v>
      </c>
      <c r="G17" s="84" t="s">
        <v>169</v>
      </c>
      <c r="H17" s="95" t="s">
        <v>44</v>
      </c>
      <c r="I17" s="95"/>
      <c r="J17" s="95"/>
      <c r="K17" s="96" t="s">
        <v>32</v>
      </c>
      <c r="L17" s="84" t="s">
        <v>25</v>
      </c>
      <c r="M17" s="84" t="s">
        <v>33</v>
      </c>
      <c r="N17" s="84" t="s">
        <v>34</v>
      </c>
      <c r="O17" s="93" t="s">
        <v>144</v>
      </c>
      <c r="P17" s="97" t="str">
        <f t="shared" ref="P17:P24" si="5">VLOOKUP(F17,F17:F32,1,0)</f>
        <v>Principal Risk Bucket</v>
      </c>
      <c r="Q17" s="84" t="str" cm="1">
        <f t="array" ref="Q17">_xlfn.LET(_xlpm.x,CLEAN(SUBSTITUTE(F17,CHAR(160)," ")),_xlpm.y,SUBSTITUTE(SUBSTITUTE(SUBSTITUTE(SUBSTITUTE(SUBSTITUTE(SUBSTITUTE(SUBSTITUTE(_xlpm.x,"("," "),")"," "),"/"," "),"-"," "),"."," "),","," "),":"," "),_xlpm.z,TRIM(_xlpm.y),IF(LEN(_xlpm.z)=0,"(blank)",LOWER(SUBSTITUTE(_xlpm.z," ","_"))))</f>
        <v>principal_risk_bucket</v>
      </c>
      <c r="R17" s="95" t="s">
        <v>45</v>
      </c>
      <c r="S17" s="95"/>
      <c r="T17" s="96"/>
      <c r="U17" s="84" t="s">
        <v>37</v>
      </c>
    </row>
    <row r="18" spans="1:21" ht="170.5" x14ac:dyDescent="0.35">
      <c r="A18" s="91">
        <v>1.2</v>
      </c>
      <c r="B18" s="84" t="s">
        <v>24</v>
      </c>
      <c r="C18" s="84" t="s">
        <v>25</v>
      </c>
      <c r="D18" s="92" t="s">
        <v>26</v>
      </c>
      <c r="E18" s="93" t="s">
        <v>144</v>
      </c>
      <c r="F18" s="84" t="s">
        <v>170</v>
      </c>
      <c r="G18" s="84" t="s">
        <v>171</v>
      </c>
      <c r="H18" s="95" t="s">
        <v>60</v>
      </c>
      <c r="I18" s="95"/>
      <c r="J18" s="95"/>
      <c r="K18" s="96" t="s">
        <v>191</v>
      </c>
      <c r="L18" s="84" t="s">
        <v>25</v>
      </c>
      <c r="M18" s="84" t="s">
        <v>33</v>
      </c>
      <c r="N18" s="84" t="s">
        <v>34</v>
      </c>
      <c r="O18" s="93" t="s">
        <v>144</v>
      </c>
      <c r="P18" s="97" t="str">
        <f t="shared" si="5"/>
        <v>Risk Coordinator</v>
      </c>
      <c r="Q18" s="84" t="str">
        <f t="shared" ref="Q18:Q22" si="6">_xlfn.LET(_xlpm.x,CLEAN(SUBSTITUTE(F18,CHAR(160)," ")),_xlpm.y,SUBSTITUTE(SUBSTITUTE(SUBSTITUTE(SUBSTITUTE(SUBSTITUTE(SUBSTITUTE(SUBSTITUTE(_xlpm.x,"("," "),")"," "),"/"," "),"-"," "),"."," "),","," "),":"," "),_xlpm.z,TRIM(_xlpm.y),IF(LEN(_xlpm.z)=0,"(blank)",LOWER(SUBSTITUTE(_xlpm.z," ","_"))))</f>
        <v>risk_coordinator</v>
      </c>
      <c r="R18" s="95" t="s">
        <v>45</v>
      </c>
      <c r="S18" s="95"/>
      <c r="T18" s="96" t="s">
        <v>74</v>
      </c>
      <c r="U18" s="84" t="s">
        <v>37</v>
      </c>
    </row>
    <row r="19" spans="1:21" ht="170.5" x14ac:dyDescent="0.35">
      <c r="A19" s="91">
        <v>1.2</v>
      </c>
      <c r="B19" s="84" t="s">
        <v>24</v>
      </c>
      <c r="C19" s="84" t="s">
        <v>25</v>
      </c>
      <c r="D19" s="92" t="s">
        <v>26</v>
      </c>
      <c r="E19" s="93" t="s">
        <v>144</v>
      </c>
      <c r="F19" s="84" t="s">
        <v>172</v>
      </c>
      <c r="G19" s="84" t="s">
        <v>173</v>
      </c>
      <c r="H19" s="95" t="s">
        <v>60</v>
      </c>
      <c r="I19" s="95"/>
      <c r="J19" s="95"/>
      <c r="K19" s="96" t="s">
        <v>192</v>
      </c>
      <c r="L19" s="84" t="s">
        <v>25</v>
      </c>
      <c r="M19" s="84" t="s">
        <v>33</v>
      </c>
      <c r="N19" s="84" t="s">
        <v>34</v>
      </c>
      <c r="O19" s="93" t="s">
        <v>144</v>
      </c>
      <c r="P19" s="97" t="str">
        <f t="shared" si="5"/>
        <v>Segment Risk Reviewer</v>
      </c>
      <c r="Q19" s="84" t="str">
        <f t="shared" si="6"/>
        <v>segment_risk_reviewer</v>
      </c>
      <c r="R19" s="95" t="s">
        <v>45</v>
      </c>
      <c r="S19" s="95"/>
      <c r="T19" s="96" t="s">
        <v>74</v>
      </c>
      <c r="U19" s="84" t="s">
        <v>37</v>
      </c>
    </row>
    <row r="20" spans="1:21" ht="108.5" x14ac:dyDescent="0.35">
      <c r="A20" s="91">
        <v>1.2</v>
      </c>
      <c r="B20" s="84" t="s">
        <v>24</v>
      </c>
      <c r="C20" s="84" t="s">
        <v>25</v>
      </c>
      <c r="D20" s="92" t="s">
        <v>26</v>
      </c>
      <c r="E20" s="93" t="s">
        <v>144</v>
      </c>
      <c r="F20" s="84" t="s">
        <v>174</v>
      </c>
      <c r="G20" s="84" t="s">
        <v>175</v>
      </c>
      <c r="H20" s="95" t="s">
        <v>60</v>
      </c>
      <c r="I20" s="95"/>
      <c r="J20" s="95"/>
      <c r="K20" s="96" t="s">
        <v>193</v>
      </c>
      <c r="L20" s="84" t="s">
        <v>25</v>
      </c>
      <c r="M20" s="84" t="s">
        <v>33</v>
      </c>
      <c r="N20" s="84" t="s">
        <v>34</v>
      </c>
      <c r="O20" s="93" t="s">
        <v>144</v>
      </c>
      <c r="P20" s="97" t="str">
        <f t="shared" si="5"/>
        <v>Risk Assessment Type</v>
      </c>
      <c r="Q20" s="84" t="str">
        <f t="shared" si="6"/>
        <v>risk_assessment_type</v>
      </c>
      <c r="R20" s="95" t="s">
        <v>45</v>
      </c>
      <c r="S20" s="95"/>
      <c r="T20" s="99" t="s">
        <v>63</v>
      </c>
      <c r="U20" s="84" t="s">
        <v>37</v>
      </c>
    </row>
    <row r="21" spans="1:21" ht="15.5" x14ac:dyDescent="0.35">
      <c r="A21" s="91">
        <v>1.2</v>
      </c>
      <c r="B21" s="84" t="s">
        <v>24</v>
      </c>
      <c r="C21" s="84" t="s">
        <v>25</v>
      </c>
      <c r="D21" s="92" t="s">
        <v>26</v>
      </c>
      <c r="E21" s="93" t="s">
        <v>144</v>
      </c>
      <c r="F21" s="84" t="s">
        <v>176</v>
      </c>
      <c r="G21" s="84" t="s">
        <v>177</v>
      </c>
      <c r="H21" s="95" t="s">
        <v>44</v>
      </c>
      <c r="I21" s="95"/>
      <c r="J21" s="95"/>
      <c r="K21" s="96" t="s">
        <v>32</v>
      </c>
      <c r="L21" s="84" t="s">
        <v>25</v>
      </c>
      <c r="M21" s="84" t="s">
        <v>33</v>
      </c>
      <c r="N21" s="84" t="s">
        <v>34</v>
      </c>
      <c r="O21" s="93" t="s">
        <v>144</v>
      </c>
      <c r="P21" s="97" t="str">
        <f t="shared" si="5"/>
        <v>Date Risk First Captured</v>
      </c>
      <c r="Q21" s="84" t="str">
        <f t="shared" si="6"/>
        <v>date_risk_first_captured</v>
      </c>
      <c r="R21" s="95" t="s">
        <v>45</v>
      </c>
      <c r="S21" s="95"/>
      <c r="T21" s="96"/>
      <c r="U21" s="84" t="s">
        <v>37</v>
      </c>
    </row>
    <row r="22" spans="1:21" ht="108.5" x14ac:dyDescent="0.35">
      <c r="A22" s="91">
        <v>1.2</v>
      </c>
      <c r="B22" s="84" t="s">
        <v>24</v>
      </c>
      <c r="C22" s="84" t="s">
        <v>25</v>
      </c>
      <c r="D22" s="92" t="s">
        <v>26</v>
      </c>
      <c r="E22" s="93" t="s">
        <v>144</v>
      </c>
      <c r="F22" s="84" t="s">
        <v>178</v>
      </c>
      <c r="G22" s="84" t="s">
        <v>179</v>
      </c>
      <c r="H22" s="95" t="s">
        <v>180</v>
      </c>
      <c r="I22" s="95"/>
      <c r="J22" s="95"/>
      <c r="K22" s="96" t="s">
        <v>194</v>
      </c>
      <c r="L22" s="84" t="s">
        <v>25</v>
      </c>
      <c r="M22" s="84" t="s">
        <v>33</v>
      </c>
      <c r="N22" s="84" t="s">
        <v>34</v>
      </c>
      <c r="O22" s="93" t="s">
        <v>144</v>
      </c>
      <c r="P22" s="97" t="str">
        <f t="shared" si="5"/>
        <v>Third Party Name</v>
      </c>
      <c r="Q22" s="84" t="str">
        <f t="shared" si="6"/>
        <v>third_party_name</v>
      </c>
      <c r="R22" s="95" t="s">
        <v>45</v>
      </c>
      <c r="S22" s="95"/>
      <c r="T22" s="99" t="s">
        <v>63</v>
      </c>
      <c r="U22" s="84" t="s">
        <v>37</v>
      </c>
    </row>
    <row r="23" spans="1:21" ht="15.5" x14ac:dyDescent="0.35">
      <c r="A23" s="91">
        <v>1.2</v>
      </c>
      <c r="B23" s="84" t="s">
        <v>24</v>
      </c>
      <c r="C23" s="84" t="s">
        <v>25</v>
      </c>
      <c r="D23" s="92" t="s">
        <v>26</v>
      </c>
      <c r="E23" s="93" t="s">
        <v>144</v>
      </c>
      <c r="F23" s="84" t="s">
        <v>181</v>
      </c>
      <c r="G23" s="84" t="s">
        <v>182</v>
      </c>
      <c r="H23" s="95" t="s">
        <v>44</v>
      </c>
      <c r="I23" s="95"/>
      <c r="J23" s="95"/>
      <c r="K23" s="96" t="s">
        <v>32</v>
      </c>
      <c r="L23" s="84" t="s">
        <v>25</v>
      </c>
      <c r="M23" s="84" t="s">
        <v>33</v>
      </c>
      <c r="N23" s="84" t="s">
        <v>34</v>
      </c>
      <c r="O23" s="93" t="s">
        <v>144</v>
      </c>
      <c r="P23" s="97" t="str">
        <f t="shared" si="5"/>
        <v>Inherent Risk Rating Rationale</v>
      </c>
      <c r="Q23" s="84" t="str" cm="1">
        <f t="array" ref="Q23">_xlfn.LET(_xlpm.x,CLEAN(SUBSTITUTE(F23,CHAR(160)," ")),_xlpm.y,SUBSTITUTE(SUBSTITUTE(SUBSTITUTE(SUBSTITUTE(SUBSTITUTE(SUBSTITUTE(SUBSTITUTE(_xlpm.x,"("," "),")"," "),"/"," "),"-"," "),"."," "),","," "),":"," "),_xlpm.z,TRIM(_xlpm.y),IF(LEN(_xlpm.z)=0,"(blank)",LOWER(SUBSTITUTE(_xlpm.z," ","_"))))</f>
        <v>inherent_risk_rating_rationale</v>
      </c>
      <c r="R23" s="95" t="s">
        <v>45</v>
      </c>
      <c r="S23" s="95"/>
      <c r="T23" s="96"/>
      <c r="U23" s="84" t="s">
        <v>37</v>
      </c>
    </row>
    <row r="24" spans="1:21" ht="108.5" x14ac:dyDescent="0.35">
      <c r="A24" s="91">
        <v>1.2</v>
      </c>
      <c r="B24" s="84" t="s">
        <v>24</v>
      </c>
      <c r="C24" s="84" t="s">
        <v>25</v>
      </c>
      <c r="D24" s="92" t="s">
        <v>26</v>
      </c>
      <c r="E24" s="93" t="s">
        <v>144</v>
      </c>
      <c r="F24" s="84" t="s">
        <v>183</v>
      </c>
      <c r="G24" s="84" t="s">
        <v>184</v>
      </c>
      <c r="H24" s="95" t="s">
        <v>60</v>
      </c>
      <c r="I24" s="95"/>
      <c r="J24" s="95"/>
      <c r="K24" s="96" t="s">
        <v>195</v>
      </c>
      <c r="L24" s="84" t="s">
        <v>25</v>
      </c>
      <c r="M24" s="84" t="s">
        <v>33</v>
      </c>
      <c r="N24" s="84" t="s">
        <v>34</v>
      </c>
      <c r="O24" s="93" t="s">
        <v>144</v>
      </c>
      <c r="P24" s="97" t="str">
        <f t="shared" si="5"/>
        <v>Overall Control Effectiveness Rating</v>
      </c>
      <c r="Q24" s="84" t="str">
        <f t="shared" ref="Q24" si="7">_xlfn.LET(_xlpm.x,CLEAN(SUBSTITUTE(F24,CHAR(160)," ")),_xlpm.y,SUBSTITUTE(SUBSTITUTE(SUBSTITUTE(SUBSTITUTE(SUBSTITUTE(SUBSTITUTE(SUBSTITUTE(_xlpm.x,"("," "),")"," "),"/"," "),"-"," "),"."," "),","," "),":"," "),_xlpm.z,TRIM(_xlpm.y),IF(LEN(_xlpm.z)=0,"(blank)",LOWER(SUBSTITUTE(_xlpm.z," ","_"))))</f>
        <v>overall_control_effectiveness_rating</v>
      </c>
      <c r="R24" s="95" t="s">
        <v>45</v>
      </c>
      <c r="S24" s="95"/>
      <c r="T24" s="99" t="s">
        <v>63</v>
      </c>
      <c r="U24" s="84" t="s">
        <v>37</v>
      </c>
    </row>
    <row r="25" spans="1:21" ht="15.5" x14ac:dyDescent="0.35">
      <c r="A25" s="91">
        <v>1.2</v>
      </c>
      <c r="B25" s="84"/>
      <c r="C25" s="93"/>
      <c r="D25" s="92"/>
      <c r="E25" s="93"/>
      <c r="F25" s="84"/>
      <c r="G25" s="95"/>
      <c r="H25" s="95"/>
      <c r="I25" s="95"/>
      <c r="J25" s="95"/>
      <c r="K25" s="101"/>
      <c r="L25" s="93" t="s">
        <v>25</v>
      </c>
      <c r="M25" s="84" t="s">
        <v>33</v>
      </c>
      <c r="N25" s="84" t="s">
        <v>34</v>
      </c>
      <c r="O25" s="93" t="s">
        <v>144</v>
      </c>
      <c r="P25" s="93"/>
      <c r="Q25" s="95" t="s">
        <v>107</v>
      </c>
      <c r="R25" s="84" t="s">
        <v>66</v>
      </c>
      <c r="S25" s="102" t="s">
        <v>108</v>
      </c>
      <c r="T25" s="99" t="s">
        <v>106</v>
      </c>
      <c r="U25" s="84"/>
    </row>
    <row r="26" spans="1:21" ht="15.5" x14ac:dyDescent="0.35">
      <c r="A26" s="91">
        <v>1.2</v>
      </c>
      <c r="B26" s="84"/>
      <c r="C26" s="93"/>
      <c r="D26" s="92"/>
      <c r="E26" s="93"/>
      <c r="F26" s="84"/>
      <c r="G26" s="95"/>
      <c r="H26" s="95"/>
      <c r="I26" s="95"/>
      <c r="J26" s="95"/>
      <c r="K26" s="101"/>
      <c r="L26" s="93" t="s">
        <v>25</v>
      </c>
      <c r="M26" s="84" t="s">
        <v>33</v>
      </c>
      <c r="N26" s="84" t="s">
        <v>34</v>
      </c>
      <c r="O26" s="93" t="s">
        <v>144</v>
      </c>
      <c r="P26" s="93"/>
      <c r="Q26" s="95" t="s">
        <v>109</v>
      </c>
      <c r="R26" s="84" t="s">
        <v>110</v>
      </c>
      <c r="S26" s="102" t="s">
        <v>111</v>
      </c>
      <c r="T26" s="99" t="s">
        <v>106</v>
      </c>
      <c r="U26" s="84"/>
    </row>
    <row r="27" spans="1:21" ht="15.5" x14ac:dyDescent="0.35">
      <c r="A27" s="91">
        <v>1.2</v>
      </c>
      <c r="B27" s="84" t="s">
        <v>24</v>
      </c>
      <c r="C27" s="93" t="s">
        <v>25</v>
      </c>
      <c r="D27" s="92" t="s">
        <v>185</v>
      </c>
      <c r="E27" s="93" t="s">
        <v>144</v>
      </c>
      <c r="F27" s="84"/>
      <c r="G27" s="84" t="s">
        <v>186</v>
      </c>
      <c r="H27" s="84" t="s">
        <v>117</v>
      </c>
      <c r="I27" s="95"/>
      <c r="J27" s="95"/>
      <c r="K27" s="101" t="s">
        <v>32</v>
      </c>
      <c r="L27" s="93" t="s">
        <v>25</v>
      </c>
      <c r="M27" s="84" t="s">
        <v>33</v>
      </c>
      <c r="N27" s="84" t="s">
        <v>34</v>
      </c>
      <c r="O27" s="93" t="s">
        <v>144</v>
      </c>
      <c r="P27" s="93"/>
      <c r="Q27" s="84" t="s">
        <v>186</v>
      </c>
      <c r="R27" s="84" t="s">
        <v>117</v>
      </c>
      <c r="S27" s="84" t="s">
        <v>187</v>
      </c>
      <c r="T27" s="99" t="s">
        <v>106</v>
      </c>
      <c r="U27" s="84" t="s">
        <v>37</v>
      </c>
    </row>
    <row r="28" spans="1:21" ht="15.5" x14ac:dyDescent="0.35">
      <c r="A28" s="91">
        <v>1.2</v>
      </c>
      <c r="B28" s="84" t="s">
        <v>24</v>
      </c>
      <c r="C28" s="93" t="s">
        <v>25</v>
      </c>
      <c r="D28" s="92" t="s">
        <v>185</v>
      </c>
      <c r="E28" s="93" t="s">
        <v>144</v>
      </c>
      <c r="F28" s="84"/>
      <c r="G28" s="84" t="s">
        <v>112</v>
      </c>
      <c r="H28" s="84" t="s">
        <v>44</v>
      </c>
      <c r="I28" s="95"/>
      <c r="J28" s="95"/>
      <c r="K28" s="101" t="s">
        <v>32</v>
      </c>
      <c r="L28" s="93" t="s">
        <v>25</v>
      </c>
      <c r="M28" s="84" t="s">
        <v>33</v>
      </c>
      <c r="N28" s="84" t="s">
        <v>34</v>
      </c>
      <c r="O28" s="93" t="s">
        <v>144</v>
      </c>
      <c r="P28" s="93"/>
      <c r="Q28" s="84" t="s">
        <v>112</v>
      </c>
      <c r="R28" s="84" t="s">
        <v>44</v>
      </c>
      <c r="S28" s="102" t="s">
        <v>113</v>
      </c>
      <c r="T28" s="99" t="s">
        <v>106</v>
      </c>
      <c r="U28" s="84" t="s">
        <v>37</v>
      </c>
    </row>
    <row r="29" spans="1:21" ht="15.5" x14ac:dyDescent="0.35">
      <c r="A29" s="91">
        <v>1.2</v>
      </c>
      <c r="B29" s="84" t="s">
        <v>24</v>
      </c>
      <c r="C29" s="93" t="s">
        <v>25</v>
      </c>
      <c r="D29" s="92" t="s">
        <v>185</v>
      </c>
      <c r="E29" s="93" t="s">
        <v>144</v>
      </c>
      <c r="F29" s="84"/>
      <c r="G29" s="84" t="s">
        <v>114</v>
      </c>
      <c r="H29" s="84" t="s">
        <v>44</v>
      </c>
      <c r="I29" s="95"/>
      <c r="J29" s="95"/>
      <c r="K29" s="101" t="s">
        <v>32</v>
      </c>
      <c r="L29" s="93" t="s">
        <v>25</v>
      </c>
      <c r="M29" s="84" t="s">
        <v>33</v>
      </c>
      <c r="N29" s="84" t="s">
        <v>34</v>
      </c>
      <c r="O29" s="93" t="s">
        <v>144</v>
      </c>
      <c r="P29" s="93"/>
      <c r="Q29" s="84" t="s">
        <v>114</v>
      </c>
      <c r="R29" s="84" t="s">
        <v>44</v>
      </c>
      <c r="S29" s="102" t="s">
        <v>115</v>
      </c>
      <c r="T29" s="99" t="s">
        <v>106</v>
      </c>
      <c r="U29" s="84" t="s">
        <v>37</v>
      </c>
    </row>
    <row r="30" spans="1:21" ht="15.5" x14ac:dyDescent="0.35">
      <c r="A30" s="91">
        <v>1.2</v>
      </c>
      <c r="B30" s="84" t="s">
        <v>24</v>
      </c>
      <c r="C30" s="93" t="s">
        <v>25</v>
      </c>
      <c r="D30" s="92" t="s">
        <v>185</v>
      </c>
      <c r="E30" s="93" t="s">
        <v>144</v>
      </c>
      <c r="F30" s="84"/>
      <c r="G30" s="84" t="s">
        <v>116</v>
      </c>
      <c r="H30" s="84" t="s">
        <v>117</v>
      </c>
      <c r="I30" s="95"/>
      <c r="J30" s="95"/>
      <c r="K30" s="101" t="s">
        <v>32</v>
      </c>
      <c r="L30" s="93" t="s">
        <v>25</v>
      </c>
      <c r="M30" s="84" t="s">
        <v>33</v>
      </c>
      <c r="N30" s="84" t="s">
        <v>34</v>
      </c>
      <c r="O30" s="93" t="s">
        <v>144</v>
      </c>
      <c r="P30" s="93"/>
      <c r="Q30" s="84" t="s">
        <v>116</v>
      </c>
      <c r="R30" s="84" t="s">
        <v>117</v>
      </c>
      <c r="S30" s="103" t="s">
        <v>118</v>
      </c>
      <c r="T30" s="99" t="s">
        <v>106</v>
      </c>
      <c r="U30" s="84" t="s">
        <v>37</v>
      </c>
    </row>
    <row r="31" spans="1:21" ht="15.5" x14ac:dyDescent="0.35">
      <c r="A31" s="91">
        <v>1.2</v>
      </c>
      <c r="B31" s="84" t="s">
        <v>24</v>
      </c>
      <c r="C31" s="93" t="s">
        <v>25</v>
      </c>
      <c r="D31" s="92" t="s">
        <v>185</v>
      </c>
      <c r="E31" s="93" t="s">
        <v>144</v>
      </c>
      <c r="F31" s="84"/>
      <c r="G31" s="84" t="s">
        <v>121</v>
      </c>
      <c r="H31" s="84" t="s">
        <v>66</v>
      </c>
      <c r="I31" s="95"/>
      <c r="J31" s="95"/>
      <c r="K31" s="101" t="s">
        <v>32</v>
      </c>
      <c r="L31" s="93" t="s">
        <v>25</v>
      </c>
      <c r="M31" s="84" t="s">
        <v>33</v>
      </c>
      <c r="N31" s="84" t="s">
        <v>34</v>
      </c>
      <c r="O31" s="93" t="s">
        <v>144</v>
      </c>
      <c r="P31" s="93"/>
      <c r="Q31" s="84" t="s">
        <v>121</v>
      </c>
      <c r="R31" s="84" t="s">
        <v>66</v>
      </c>
      <c r="S31" s="95" t="s">
        <v>122</v>
      </c>
      <c r="T31" s="99" t="s">
        <v>106</v>
      </c>
      <c r="U31" s="84" t="s">
        <v>37</v>
      </c>
    </row>
  </sheetData>
  <mergeCells count="3">
    <mergeCell ref="A1:J2"/>
    <mergeCell ref="K1:U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E956-356D-4B4E-8302-2403681E3D43}">
  <dimension ref="A1:T17"/>
  <sheetViews>
    <sheetView zoomScale="53" zoomScaleNormal="53" workbookViewId="0">
      <selection activeCell="G17" sqref="G17:J17"/>
    </sheetView>
  </sheetViews>
  <sheetFormatPr defaultRowHeight="14.5" x14ac:dyDescent="0.35"/>
  <cols>
    <col min="1" max="1" width="9.1796875" customWidth="1"/>
    <col min="2" max="2" width="8" customWidth="1"/>
    <col min="3" max="3" width="20.7265625" customWidth="1"/>
    <col min="4" max="4" width="25.453125" customWidth="1"/>
    <col min="5" max="5" width="20.1796875" customWidth="1"/>
    <col min="6" max="6" width="32.453125" customWidth="1"/>
    <col min="7" max="7" width="25.26953125" customWidth="1"/>
    <col min="8" max="8" width="21.453125" customWidth="1"/>
    <col min="9" max="9" width="14.54296875" customWidth="1"/>
    <col min="10" max="10" width="61.54296875" customWidth="1"/>
    <col min="11" max="11" width="21.54296875" customWidth="1"/>
    <col min="12" max="12" width="23.54296875" customWidth="1"/>
    <col min="13" max="13" width="18.81640625" customWidth="1"/>
    <col min="14" max="14" width="18.453125" customWidth="1"/>
    <col min="15" max="15" width="29.26953125" customWidth="1"/>
    <col min="16" max="16" width="31" customWidth="1"/>
    <col min="17" max="17" width="11" bestFit="1" customWidth="1"/>
    <col min="18" max="18" width="18.81640625" customWidth="1"/>
    <col min="19" max="19" width="17.1796875" customWidth="1"/>
  </cols>
  <sheetData>
    <row r="1" spans="1:20" x14ac:dyDescent="0.35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9" t="s">
        <v>1</v>
      </c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spans="1:20" x14ac:dyDescent="0.35">
      <c r="A2" s="208"/>
      <c r="B2" s="208"/>
      <c r="C2" s="208"/>
      <c r="D2" s="208"/>
      <c r="E2" s="208"/>
      <c r="F2" s="208"/>
      <c r="G2" s="208"/>
      <c r="H2" s="208"/>
      <c r="I2" s="208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</row>
    <row r="3" spans="1:20" ht="22.5" x14ac:dyDescent="0.45">
      <c r="A3" s="210" t="s">
        <v>2</v>
      </c>
      <c r="B3" s="211"/>
      <c r="C3" s="211"/>
      <c r="D3" s="211"/>
      <c r="E3" s="211"/>
      <c r="F3" s="211"/>
      <c r="G3" s="211"/>
      <c r="H3" s="211"/>
      <c r="I3" s="211"/>
      <c r="J3" s="104"/>
      <c r="K3" s="104"/>
      <c r="L3" s="104"/>
      <c r="M3" s="104"/>
      <c r="N3" s="104"/>
      <c r="O3" s="104"/>
      <c r="P3" s="104"/>
      <c r="Q3" s="104"/>
      <c r="R3" s="105"/>
      <c r="S3" s="106"/>
      <c r="T3" s="107"/>
    </row>
    <row r="4" spans="1:20" ht="48" x14ac:dyDescent="0.4">
      <c r="A4" s="108" t="s">
        <v>3</v>
      </c>
      <c r="B4" s="108"/>
      <c r="C4" s="108" t="s">
        <v>5</v>
      </c>
      <c r="D4" s="108" t="s">
        <v>6</v>
      </c>
      <c r="E4" s="108" t="s">
        <v>7</v>
      </c>
      <c r="F4" s="108" t="s">
        <v>197</v>
      </c>
      <c r="G4" s="108" t="s">
        <v>9</v>
      </c>
      <c r="H4" s="108" t="s">
        <v>10</v>
      </c>
      <c r="I4" s="108" t="s">
        <v>11</v>
      </c>
      <c r="J4" s="109" t="s">
        <v>13</v>
      </c>
      <c r="K4" s="110" t="s">
        <v>14</v>
      </c>
      <c r="L4" s="110" t="s">
        <v>15</v>
      </c>
      <c r="M4" s="110" t="s">
        <v>16</v>
      </c>
      <c r="N4" s="110" t="s">
        <v>17</v>
      </c>
      <c r="O4" s="111" t="s">
        <v>198</v>
      </c>
      <c r="P4" s="112" t="s">
        <v>19</v>
      </c>
      <c r="Q4" s="110" t="s">
        <v>20</v>
      </c>
      <c r="R4" s="106" t="s">
        <v>21</v>
      </c>
      <c r="S4" s="106" t="s">
        <v>22</v>
      </c>
      <c r="T4" s="113" t="s">
        <v>23</v>
      </c>
    </row>
    <row r="5" spans="1:20" ht="16" x14ac:dyDescent="0.4">
      <c r="A5" s="81">
        <v>1.2</v>
      </c>
      <c r="B5" s="114" t="s">
        <v>24</v>
      </c>
      <c r="C5" s="115" t="s">
        <v>25</v>
      </c>
      <c r="D5" s="116" t="s">
        <v>26</v>
      </c>
      <c r="E5" s="76" t="s">
        <v>199</v>
      </c>
      <c r="F5" s="117" t="s">
        <v>200</v>
      </c>
      <c r="G5" s="118" t="s">
        <v>201</v>
      </c>
      <c r="H5" s="118" t="s">
        <v>44</v>
      </c>
      <c r="I5" s="76"/>
      <c r="J5" s="115" t="s">
        <v>202</v>
      </c>
      <c r="K5" s="115" t="s">
        <v>25</v>
      </c>
      <c r="L5" s="115" t="s">
        <v>33</v>
      </c>
      <c r="M5" s="115" t="s">
        <v>34</v>
      </c>
      <c r="N5" s="119" t="s">
        <v>203</v>
      </c>
      <c r="O5" s="120" t="s">
        <v>200</v>
      </c>
      <c r="P5" s="121" t="s">
        <v>204</v>
      </c>
      <c r="Q5" s="122" t="s">
        <v>45</v>
      </c>
      <c r="R5" s="123"/>
      <c r="S5" s="124" t="s">
        <v>205</v>
      </c>
      <c r="T5" s="115" t="s">
        <v>37</v>
      </c>
    </row>
    <row r="6" spans="1:20" ht="16" x14ac:dyDescent="0.4">
      <c r="A6" s="76">
        <v>1.2</v>
      </c>
      <c r="B6" s="114" t="s">
        <v>24</v>
      </c>
      <c r="C6" s="115" t="s">
        <v>25</v>
      </c>
      <c r="D6" s="116" t="s">
        <v>26</v>
      </c>
      <c r="E6" s="76" t="s">
        <v>199</v>
      </c>
      <c r="F6" s="118" t="s">
        <v>48</v>
      </c>
      <c r="G6" s="125" t="s">
        <v>206</v>
      </c>
      <c r="H6" s="118" t="s">
        <v>44</v>
      </c>
      <c r="I6" s="76"/>
      <c r="J6" s="115" t="s">
        <v>202</v>
      </c>
      <c r="K6" s="115" t="s">
        <v>25</v>
      </c>
      <c r="L6" s="115" t="s">
        <v>33</v>
      </c>
      <c r="M6" s="115" t="s">
        <v>34</v>
      </c>
      <c r="N6" s="119" t="s">
        <v>203</v>
      </c>
      <c r="O6" s="118" t="s">
        <v>48</v>
      </c>
      <c r="P6" s="118" t="s">
        <v>49</v>
      </c>
      <c r="Q6" s="122" t="s">
        <v>45</v>
      </c>
      <c r="R6" s="123"/>
      <c r="S6" s="124" t="s">
        <v>207</v>
      </c>
      <c r="T6" s="115"/>
    </row>
    <row r="7" spans="1:20" s="137" customFormat="1" ht="16" x14ac:dyDescent="0.4">
      <c r="A7" s="81">
        <v>1.2</v>
      </c>
      <c r="B7" s="126" t="s">
        <v>24</v>
      </c>
      <c r="C7" s="127" t="s">
        <v>25</v>
      </c>
      <c r="D7" s="128" t="s">
        <v>26</v>
      </c>
      <c r="E7" s="81" t="s">
        <v>199</v>
      </c>
      <c r="F7" s="129" t="s">
        <v>208</v>
      </c>
      <c r="G7" s="130" t="s">
        <v>209</v>
      </c>
      <c r="H7" s="130" t="s">
        <v>30</v>
      </c>
      <c r="I7" s="81" t="s">
        <v>31</v>
      </c>
      <c r="J7" s="127" t="s">
        <v>202</v>
      </c>
      <c r="K7" s="127" t="s">
        <v>25</v>
      </c>
      <c r="L7" s="127" t="s">
        <v>33</v>
      </c>
      <c r="M7" s="127" t="s">
        <v>34</v>
      </c>
      <c r="N7" s="131" t="s">
        <v>203</v>
      </c>
      <c r="O7" s="132" t="s">
        <v>208</v>
      </c>
      <c r="P7" s="133" t="s">
        <v>210</v>
      </c>
      <c r="Q7" s="134" t="s">
        <v>30</v>
      </c>
      <c r="R7" s="135"/>
      <c r="S7" s="136"/>
      <c r="T7" s="127" t="s">
        <v>37</v>
      </c>
    </row>
    <row r="8" spans="1:20" ht="15.5" x14ac:dyDescent="0.35">
      <c r="A8" s="81">
        <v>1.2</v>
      </c>
      <c r="B8" s="114" t="s">
        <v>24</v>
      </c>
      <c r="C8" s="115" t="s">
        <v>25</v>
      </c>
      <c r="D8" s="116" t="s">
        <v>26</v>
      </c>
      <c r="E8" s="76" t="s">
        <v>199</v>
      </c>
      <c r="F8" s="138" t="s">
        <v>211</v>
      </c>
      <c r="G8" s="118" t="s">
        <v>212</v>
      </c>
      <c r="H8" s="118" t="s">
        <v>60</v>
      </c>
      <c r="I8" s="76"/>
      <c r="J8" s="118" t="s">
        <v>213</v>
      </c>
      <c r="K8" s="115" t="s">
        <v>25</v>
      </c>
      <c r="L8" s="115" t="s">
        <v>33</v>
      </c>
      <c r="M8" s="115" t="s">
        <v>34</v>
      </c>
      <c r="N8" s="119" t="s">
        <v>203</v>
      </c>
      <c r="O8" s="139" t="s">
        <v>211</v>
      </c>
      <c r="P8" s="121" t="s">
        <v>212</v>
      </c>
      <c r="Q8" s="122" t="s">
        <v>45</v>
      </c>
      <c r="R8" s="76"/>
      <c r="S8" s="76" t="s">
        <v>214</v>
      </c>
      <c r="T8" s="115" t="s">
        <v>37</v>
      </c>
    </row>
    <row r="9" spans="1:20" ht="15.5" x14ac:dyDescent="0.35">
      <c r="A9" s="81">
        <v>1.2</v>
      </c>
      <c r="B9" s="114" t="s">
        <v>24</v>
      </c>
      <c r="C9" s="115" t="s">
        <v>25</v>
      </c>
      <c r="D9" s="116" t="s">
        <v>26</v>
      </c>
      <c r="E9" s="76" t="s">
        <v>199</v>
      </c>
      <c r="F9" s="138" t="s">
        <v>215</v>
      </c>
      <c r="G9" s="118" t="s">
        <v>99</v>
      </c>
      <c r="H9" s="118" t="s">
        <v>60</v>
      </c>
      <c r="I9" s="76"/>
      <c r="J9" s="118" t="s">
        <v>216</v>
      </c>
      <c r="K9" s="115" t="s">
        <v>25</v>
      </c>
      <c r="L9" s="115" t="s">
        <v>33</v>
      </c>
      <c r="M9" s="115" t="s">
        <v>34</v>
      </c>
      <c r="N9" s="119" t="s">
        <v>203</v>
      </c>
      <c r="O9" s="139" t="s">
        <v>215</v>
      </c>
      <c r="P9" s="121" t="s">
        <v>217</v>
      </c>
      <c r="Q9" s="122" t="s">
        <v>45</v>
      </c>
      <c r="R9" s="140" t="s">
        <v>218</v>
      </c>
      <c r="S9" s="140" t="s">
        <v>219</v>
      </c>
      <c r="T9" s="115" t="s">
        <v>37</v>
      </c>
    </row>
    <row r="10" spans="1:20" s="137" customFormat="1" x14ac:dyDescent="0.35">
      <c r="A10" s="81">
        <v>1.2</v>
      </c>
      <c r="B10" s="126" t="s">
        <v>24</v>
      </c>
      <c r="C10" s="127" t="s">
        <v>25</v>
      </c>
      <c r="D10" s="128" t="s">
        <v>26</v>
      </c>
      <c r="E10" s="76" t="s">
        <v>199</v>
      </c>
      <c r="F10" s="81" t="s">
        <v>220</v>
      </c>
      <c r="G10" s="130" t="s">
        <v>221</v>
      </c>
      <c r="H10" s="130" t="s">
        <v>180</v>
      </c>
      <c r="I10" s="81" t="s">
        <v>222</v>
      </c>
      <c r="J10" s="130" t="s">
        <v>223</v>
      </c>
      <c r="K10" s="127" t="s">
        <v>25</v>
      </c>
      <c r="L10" s="127" t="s">
        <v>33</v>
      </c>
      <c r="M10" s="127" t="s">
        <v>34</v>
      </c>
      <c r="N10" s="131" t="s">
        <v>203</v>
      </c>
      <c r="O10" s="141" t="s">
        <v>220</v>
      </c>
      <c r="P10" s="142" t="s">
        <v>224</v>
      </c>
      <c r="Q10" s="143" t="s">
        <v>35</v>
      </c>
      <c r="R10" s="81"/>
      <c r="S10" s="81" t="s">
        <v>225</v>
      </c>
      <c r="T10" s="115" t="s">
        <v>37</v>
      </c>
    </row>
    <row r="11" spans="1:20" x14ac:dyDescent="0.35">
      <c r="A11" s="76">
        <v>1.2</v>
      </c>
      <c r="B11" s="144" t="s">
        <v>24</v>
      </c>
      <c r="C11" s="145" t="s">
        <v>25</v>
      </c>
      <c r="D11" s="146" t="s">
        <v>26</v>
      </c>
      <c r="E11" s="76" t="s">
        <v>199</v>
      </c>
      <c r="F11" s="147"/>
      <c r="G11" s="147" t="s">
        <v>226</v>
      </c>
      <c r="H11" s="148"/>
      <c r="I11" s="148"/>
      <c r="J11" s="149" t="s">
        <v>106</v>
      </c>
      <c r="K11" s="115" t="s">
        <v>25</v>
      </c>
      <c r="L11" s="145" t="s">
        <v>25</v>
      </c>
      <c r="M11" s="115" t="s">
        <v>34</v>
      </c>
      <c r="N11" s="119" t="s">
        <v>203</v>
      </c>
      <c r="O11" s="145"/>
      <c r="P11" s="121" t="s">
        <v>107</v>
      </c>
      <c r="Q11" s="150" t="s">
        <v>66</v>
      </c>
      <c r="R11" s="151"/>
      <c r="S11" s="147" t="s">
        <v>106</v>
      </c>
      <c r="T11" s="145" t="s">
        <v>37</v>
      </c>
    </row>
    <row r="12" spans="1:20" x14ac:dyDescent="0.35">
      <c r="A12" s="76">
        <v>1.2</v>
      </c>
      <c r="B12" s="144" t="s">
        <v>24</v>
      </c>
      <c r="C12" s="145" t="s">
        <v>25</v>
      </c>
      <c r="D12" s="146" t="s">
        <v>26</v>
      </c>
      <c r="E12" s="76" t="s">
        <v>199</v>
      </c>
      <c r="F12" s="147"/>
      <c r="G12" s="147" t="s">
        <v>226</v>
      </c>
      <c r="H12" s="147"/>
      <c r="I12" s="147"/>
      <c r="J12" s="149" t="s">
        <v>106</v>
      </c>
      <c r="K12" s="115" t="s">
        <v>25</v>
      </c>
      <c r="L12" s="145" t="s">
        <v>25</v>
      </c>
      <c r="M12" s="115" t="s">
        <v>34</v>
      </c>
      <c r="N12" s="119" t="s">
        <v>203</v>
      </c>
      <c r="O12" s="145"/>
      <c r="P12" s="121" t="s">
        <v>109</v>
      </c>
      <c r="Q12" s="150" t="s">
        <v>110</v>
      </c>
      <c r="R12" s="151"/>
      <c r="S12" s="147" t="s">
        <v>106</v>
      </c>
      <c r="T12" s="145" t="s">
        <v>37</v>
      </c>
    </row>
    <row r="13" spans="1:20" x14ac:dyDescent="0.35">
      <c r="A13" s="76">
        <v>1.2</v>
      </c>
      <c r="B13" s="144" t="s">
        <v>24</v>
      </c>
      <c r="C13" s="145" t="s">
        <v>25</v>
      </c>
      <c r="D13" s="146" t="s">
        <v>26</v>
      </c>
      <c r="E13" s="76" t="s">
        <v>199</v>
      </c>
      <c r="F13" s="147"/>
      <c r="G13" s="140" t="s">
        <v>112</v>
      </c>
      <c r="H13" s="140" t="s">
        <v>44</v>
      </c>
      <c r="I13" s="149"/>
      <c r="J13" s="149" t="s">
        <v>32</v>
      </c>
      <c r="K13" s="115" t="s">
        <v>25</v>
      </c>
      <c r="L13" s="145" t="s">
        <v>25</v>
      </c>
      <c r="M13" s="115" t="s">
        <v>34</v>
      </c>
      <c r="N13" s="119" t="s">
        <v>203</v>
      </c>
      <c r="O13" s="152"/>
      <c r="P13" s="153" t="s">
        <v>112</v>
      </c>
      <c r="Q13" s="154" t="s">
        <v>44</v>
      </c>
      <c r="R13" s="121"/>
      <c r="S13" s="147" t="s">
        <v>106</v>
      </c>
      <c r="T13" s="145" t="s">
        <v>37</v>
      </c>
    </row>
    <row r="14" spans="1:20" x14ac:dyDescent="0.35">
      <c r="A14" s="76">
        <v>1.2</v>
      </c>
      <c r="B14" s="144" t="s">
        <v>24</v>
      </c>
      <c r="C14" s="145" t="s">
        <v>25</v>
      </c>
      <c r="D14" s="146" t="s">
        <v>26</v>
      </c>
      <c r="E14" s="76" t="s">
        <v>199</v>
      </c>
      <c r="F14" s="147"/>
      <c r="G14" s="140" t="s">
        <v>114</v>
      </c>
      <c r="H14" s="140" t="s">
        <v>44</v>
      </c>
      <c r="I14" s="149"/>
      <c r="J14" s="149" t="s">
        <v>32</v>
      </c>
      <c r="K14" s="115" t="s">
        <v>25</v>
      </c>
      <c r="L14" s="145" t="s">
        <v>25</v>
      </c>
      <c r="M14" s="115" t="s">
        <v>34</v>
      </c>
      <c r="N14" s="119" t="s">
        <v>203</v>
      </c>
      <c r="O14" s="145"/>
      <c r="P14" s="140" t="s">
        <v>114</v>
      </c>
      <c r="Q14" s="155" t="s">
        <v>44</v>
      </c>
      <c r="R14" s="121"/>
      <c r="S14" s="147" t="s">
        <v>106</v>
      </c>
      <c r="T14" s="145" t="s">
        <v>37</v>
      </c>
    </row>
    <row r="15" spans="1:20" ht="15" customHeight="1" x14ac:dyDescent="0.35">
      <c r="A15" s="76">
        <v>1.2</v>
      </c>
      <c r="B15" s="144" t="s">
        <v>24</v>
      </c>
      <c r="C15" s="145" t="s">
        <v>25</v>
      </c>
      <c r="D15" s="146" t="s">
        <v>26</v>
      </c>
      <c r="E15" s="76" t="s">
        <v>199</v>
      </c>
      <c r="F15" s="147"/>
      <c r="G15" s="155" t="s">
        <v>116</v>
      </c>
      <c r="H15" s="140" t="s">
        <v>117</v>
      </c>
      <c r="I15" s="149"/>
      <c r="J15" s="149" t="s">
        <v>32</v>
      </c>
      <c r="K15" s="115" t="s">
        <v>25</v>
      </c>
      <c r="L15" s="145" t="s">
        <v>25</v>
      </c>
      <c r="M15" s="115" t="s">
        <v>34</v>
      </c>
      <c r="N15" s="119" t="s">
        <v>203</v>
      </c>
      <c r="O15" s="145"/>
      <c r="P15" s="140" t="s">
        <v>116</v>
      </c>
      <c r="Q15" s="155" t="s">
        <v>117</v>
      </c>
      <c r="R15" s="121"/>
      <c r="S15" s="147" t="s">
        <v>106</v>
      </c>
      <c r="T15" s="145" t="s">
        <v>37</v>
      </c>
    </row>
    <row r="16" spans="1:20" ht="15" customHeight="1" x14ac:dyDescent="0.35">
      <c r="A16" s="76">
        <v>1.2</v>
      </c>
      <c r="B16" s="144" t="s">
        <v>24</v>
      </c>
      <c r="C16" s="145" t="s">
        <v>25</v>
      </c>
      <c r="D16" s="146" t="s">
        <v>26</v>
      </c>
      <c r="E16" s="76" t="s">
        <v>199</v>
      </c>
      <c r="F16" s="147"/>
      <c r="G16" s="155" t="s">
        <v>121</v>
      </c>
      <c r="H16" s="140" t="s">
        <v>120</v>
      </c>
      <c r="I16" s="149"/>
      <c r="J16" s="149" t="s">
        <v>32</v>
      </c>
      <c r="K16" s="115" t="s">
        <v>25</v>
      </c>
      <c r="L16" s="145" t="s">
        <v>25</v>
      </c>
      <c r="M16" s="115" t="s">
        <v>34</v>
      </c>
      <c r="N16" s="119" t="s">
        <v>203</v>
      </c>
      <c r="O16" s="145"/>
      <c r="P16" s="155" t="s">
        <v>121</v>
      </c>
      <c r="Q16" s="155" t="s">
        <v>120</v>
      </c>
      <c r="R16" s="121"/>
      <c r="S16" s="76" t="s">
        <v>106</v>
      </c>
      <c r="T16" s="156" t="s">
        <v>37</v>
      </c>
    </row>
    <row r="17" spans="1:20" ht="15" customHeight="1" x14ac:dyDescent="0.35">
      <c r="A17" s="76">
        <v>1.2</v>
      </c>
      <c r="B17" s="144" t="s">
        <v>24</v>
      </c>
      <c r="C17" s="145" t="s">
        <v>25</v>
      </c>
      <c r="D17" s="146" t="s">
        <v>26</v>
      </c>
      <c r="E17" s="76" t="s">
        <v>199</v>
      </c>
      <c r="F17" s="147"/>
      <c r="G17" s="155" t="s">
        <v>121</v>
      </c>
      <c r="H17" s="155" t="s">
        <v>120</v>
      </c>
      <c r="I17" s="149"/>
      <c r="J17" s="149" t="s">
        <v>32</v>
      </c>
      <c r="K17" s="115" t="s">
        <v>25</v>
      </c>
      <c r="L17" s="145" t="s">
        <v>25</v>
      </c>
      <c r="M17" s="115" t="s">
        <v>34</v>
      </c>
      <c r="N17" s="119" t="s">
        <v>203</v>
      </c>
      <c r="O17" s="145"/>
      <c r="P17" s="155" t="s">
        <v>123</v>
      </c>
      <c r="Q17" s="155" t="s">
        <v>110</v>
      </c>
      <c r="R17" s="121"/>
      <c r="S17" s="76" t="s">
        <v>106</v>
      </c>
      <c r="T17" s="156" t="s">
        <v>37</v>
      </c>
    </row>
  </sheetData>
  <mergeCells count="3">
    <mergeCell ref="A1:I2"/>
    <mergeCell ref="J1:T2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AF3E-A21F-496C-AECA-0E11D2C97430}">
  <dimension ref="A1:R26"/>
  <sheetViews>
    <sheetView topLeftCell="C1" workbookViewId="0">
      <selection activeCell="E30" sqref="E30"/>
    </sheetView>
  </sheetViews>
  <sheetFormatPr defaultColWidth="8.7265625" defaultRowHeight="14.5" x14ac:dyDescent="0.35"/>
  <cols>
    <col min="1" max="1" width="14.7265625" style="184" bestFit="1" customWidth="1"/>
    <col min="2" max="2" width="22.453125" style="158" bestFit="1" customWidth="1"/>
    <col min="3" max="3" width="33.453125" style="158" customWidth="1"/>
    <col min="4" max="4" width="19.1796875" style="158" bestFit="1" customWidth="1"/>
    <col min="5" max="5" width="27.81640625" style="158" bestFit="1" customWidth="1"/>
    <col min="6" max="6" width="24.26953125" style="158" bestFit="1" customWidth="1"/>
    <col min="7" max="7" width="17.1796875" style="158" bestFit="1" customWidth="1"/>
    <col min="8" max="8" width="13.54296875" style="158" bestFit="1" customWidth="1"/>
    <col min="9" max="9" width="23.453125" style="158" bestFit="1" customWidth="1"/>
    <col min="10" max="10" width="23.54296875" style="158" bestFit="1" customWidth="1"/>
    <col min="11" max="11" width="22.81640625" style="158" bestFit="1" customWidth="1"/>
    <col min="12" max="12" width="21.54296875" style="158" bestFit="1" customWidth="1"/>
    <col min="13" max="13" width="18.54296875" style="158" bestFit="1" customWidth="1"/>
    <col min="14" max="14" width="23.1796875" style="158" bestFit="1" customWidth="1"/>
    <col min="15" max="15" width="16.453125" style="158" bestFit="1" customWidth="1"/>
    <col min="16" max="16" width="18" style="158" bestFit="1" customWidth="1"/>
    <col min="17" max="17" width="21.453125" style="158" bestFit="1" customWidth="1"/>
    <col min="18" max="18" width="31.54296875" style="158" bestFit="1" customWidth="1"/>
    <col min="19" max="16384" width="8.7265625" style="158"/>
  </cols>
  <sheetData>
    <row r="1" spans="1:18" x14ac:dyDescent="0.35">
      <c r="A1" s="212" t="s">
        <v>0</v>
      </c>
      <c r="B1" s="212"/>
      <c r="C1" s="212"/>
      <c r="D1" s="212"/>
      <c r="E1" s="212"/>
      <c r="F1" s="212"/>
      <c r="G1" s="212"/>
      <c r="H1" s="212"/>
      <c r="I1" s="213" t="s">
        <v>227</v>
      </c>
      <c r="J1" s="213"/>
      <c r="K1" s="213"/>
      <c r="L1" s="213"/>
      <c r="M1" s="213"/>
      <c r="N1" s="213"/>
      <c r="O1" s="213"/>
      <c r="P1" s="213"/>
      <c r="Q1" s="213"/>
      <c r="R1" s="213"/>
    </row>
    <row r="2" spans="1:18" ht="9.65" customHeight="1" x14ac:dyDescent="0.35">
      <c r="A2" s="212"/>
      <c r="B2" s="212"/>
      <c r="C2" s="212"/>
      <c r="D2" s="212"/>
      <c r="E2" s="212"/>
      <c r="F2" s="212"/>
      <c r="G2" s="212"/>
      <c r="H2" s="212"/>
      <c r="I2" s="213"/>
      <c r="J2" s="213"/>
      <c r="K2" s="213"/>
      <c r="L2" s="213"/>
      <c r="M2" s="213"/>
      <c r="N2" s="213"/>
      <c r="O2" s="213"/>
      <c r="P2" s="213"/>
      <c r="Q2" s="213"/>
      <c r="R2" s="213"/>
    </row>
    <row r="3" spans="1:18" ht="23.5" x14ac:dyDescent="0.55000000000000004">
      <c r="A3" s="214" t="s">
        <v>2</v>
      </c>
      <c r="B3" s="215"/>
      <c r="C3" s="215"/>
      <c r="D3" s="215"/>
      <c r="E3" s="215"/>
      <c r="F3" s="215"/>
      <c r="G3" s="215"/>
      <c r="H3" s="215"/>
      <c r="I3" s="157"/>
      <c r="J3" s="157"/>
      <c r="K3" s="157"/>
      <c r="L3" s="157"/>
      <c r="M3" s="157"/>
      <c r="N3" s="157"/>
      <c r="O3" s="157"/>
      <c r="P3" s="157"/>
      <c r="Q3" s="159"/>
      <c r="R3" s="159"/>
    </row>
    <row r="4" spans="1:18" s="163" customFormat="1" ht="16" x14ac:dyDescent="0.35">
      <c r="A4" s="160" t="s">
        <v>3</v>
      </c>
      <c r="B4" s="160" t="s">
        <v>5</v>
      </c>
      <c r="C4" s="160" t="s">
        <v>6</v>
      </c>
      <c r="D4" s="160" t="s">
        <v>7</v>
      </c>
      <c r="E4" s="160" t="s">
        <v>228</v>
      </c>
      <c r="F4" s="160" t="s">
        <v>229</v>
      </c>
      <c r="G4" s="160" t="s">
        <v>10</v>
      </c>
      <c r="H4" s="160" t="s">
        <v>11</v>
      </c>
      <c r="I4" s="161" t="s">
        <v>13</v>
      </c>
      <c r="J4" s="162" t="s">
        <v>14</v>
      </c>
      <c r="K4" s="162" t="s">
        <v>6</v>
      </c>
      <c r="L4" s="162" t="s">
        <v>16</v>
      </c>
      <c r="M4" s="162" t="s">
        <v>17</v>
      </c>
      <c r="N4" s="162" t="s">
        <v>19</v>
      </c>
      <c r="O4" s="162" t="s">
        <v>20</v>
      </c>
      <c r="P4" s="162" t="s">
        <v>21</v>
      </c>
      <c r="Q4" s="162" t="s">
        <v>22</v>
      </c>
      <c r="R4" s="161" t="s">
        <v>23</v>
      </c>
    </row>
    <row r="5" spans="1:18" x14ac:dyDescent="0.35">
      <c r="A5" s="164">
        <v>1.1000000000000001</v>
      </c>
      <c r="B5" s="165" t="s">
        <v>230</v>
      </c>
      <c r="C5" s="165" t="s">
        <v>231</v>
      </c>
      <c r="D5" s="165" t="s">
        <v>232</v>
      </c>
      <c r="E5" s="166" t="s">
        <v>233</v>
      </c>
      <c r="F5" s="167" t="s">
        <v>234</v>
      </c>
      <c r="G5" s="168" t="s">
        <v>44</v>
      </c>
      <c r="H5" s="168" t="s">
        <v>31</v>
      </c>
      <c r="I5" s="169" t="s">
        <v>32</v>
      </c>
      <c r="J5" s="170" t="s">
        <v>25</v>
      </c>
      <c r="K5" s="171" t="s">
        <v>33</v>
      </c>
      <c r="L5" s="170" t="s">
        <v>235</v>
      </c>
      <c r="M5" s="165" t="s">
        <v>232</v>
      </c>
      <c r="N5" s="167" t="s">
        <v>234</v>
      </c>
      <c r="O5" s="168" t="s">
        <v>44</v>
      </c>
      <c r="P5" s="169" t="s">
        <v>236</v>
      </c>
      <c r="Q5" s="169"/>
      <c r="R5" s="169" t="s">
        <v>37</v>
      </c>
    </row>
    <row r="6" spans="1:18" x14ac:dyDescent="0.35">
      <c r="A6" s="164">
        <v>1.1000000000000001</v>
      </c>
      <c r="B6" s="165" t="s">
        <v>230</v>
      </c>
      <c r="C6" s="165" t="s">
        <v>231</v>
      </c>
      <c r="D6" s="165" t="s">
        <v>232</v>
      </c>
      <c r="E6" s="171" t="s">
        <v>237</v>
      </c>
      <c r="F6" s="172" t="s">
        <v>238</v>
      </c>
      <c r="G6" s="173" t="s">
        <v>239</v>
      </c>
      <c r="H6" s="169"/>
      <c r="I6" s="169" t="s">
        <v>32</v>
      </c>
      <c r="J6" s="170" t="s">
        <v>25</v>
      </c>
      <c r="K6" s="171" t="s">
        <v>33</v>
      </c>
      <c r="L6" s="170" t="s">
        <v>235</v>
      </c>
      <c r="M6" s="165" t="s">
        <v>232</v>
      </c>
      <c r="N6" s="172" t="s">
        <v>238</v>
      </c>
      <c r="O6" s="173" t="s">
        <v>35</v>
      </c>
      <c r="P6" s="169"/>
      <c r="Q6" s="169"/>
      <c r="R6" s="169" t="s">
        <v>37</v>
      </c>
    </row>
    <row r="7" spans="1:18" x14ac:dyDescent="0.35">
      <c r="A7" s="164">
        <v>1.1000000000000001</v>
      </c>
      <c r="B7" s="165" t="s">
        <v>230</v>
      </c>
      <c r="C7" s="165" t="s">
        <v>231</v>
      </c>
      <c r="D7" s="165" t="s">
        <v>232</v>
      </c>
      <c r="E7" s="171" t="s">
        <v>240</v>
      </c>
      <c r="F7" s="172" t="s">
        <v>241</v>
      </c>
      <c r="G7" s="173" t="s">
        <v>44</v>
      </c>
      <c r="H7" s="169"/>
      <c r="I7" s="169" t="s">
        <v>32</v>
      </c>
      <c r="J7" s="170" t="s">
        <v>25</v>
      </c>
      <c r="K7" s="171" t="s">
        <v>33</v>
      </c>
      <c r="L7" s="170" t="s">
        <v>235</v>
      </c>
      <c r="M7" s="165" t="s">
        <v>232</v>
      </c>
      <c r="N7" s="172" t="s">
        <v>241</v>
      </c>
      <c r="O7" s="173" t="s">
        <v>44</v>
      </c>
      <c r="P7" s="169"/>
      <c r="Q7" s="169"/>
      <c r="R7" s="169" t="s">
        <v>37</v>
      </c>
    </row>
    <row r="8" spans="1:18" x14ac:dyDescent="0.35">
      <c r="A8" s="164">
        <v>1.1000000000000001</v>
      </c>
      <c r="B8" s="165" t="s">
        <v>230</v>
      </c>
      <c r="C8" s="165" t="s">
        <v>231</v>
      </c>
      <c r="D8" s="165" t="s">
        <v>232</v>
      </c>
      <c r="E8" s="171" t="s">
        <v>242</v>
      </c>
      <c r="F8" s="173" t="s">
        <v>243</v>
      </c>
      <c r="G8" s="173" t="s">
        <v>44</v>
      </c>
      <c r="H8" s="169"/>
      <c r="I8" s="169" t="s">
        <v>32</v>
      </c>
      <c r="J8" s="170" t="s">
        <v>25</v>
      </c>
      <c r="K8" s="171" t="s">
        <v>33</v>
      </c>
      <c r="L8" s="170" t="s">
        <v>235</v>
      </c>
      <c r="M8" s="165" t="s">
        <v>232</v>
      </c>
      <c r="N8" s="173" t="s">
        <v>244</v>
      </c>
      <c r="O8" s="173" t="s">
        <v>44</v>
      </c>
      <c r="P8" s="169"/>
      <c r="Q8" s="169"/>
      <c r="R8" s="169" t="s">
        <v>37</v>
      </c>
    </row>
    <row r="9" spans="1:18" x14ac:dyDescent="0.35">
      <c r="A9" s="164">
        <v>1.1000000000000001</v>
      </c>
      <c r="B9" s="165" t="s">
        <v>230</v>
      </c>
      <c r="C9" s="165" t="s">
        <v>231</v>
      </c>
      <c r="D9" s="165" t="s">
        <v>232</v>
      </c>
      <c r="E9" s="171" t="s">
        <v>245</v>
      </c>
      <c r="F9" s="172" t="s">
        <v>246</v>
      </c>
      <c r="G9" s="173" t="s">
        <v>239</v>
      </c>
      <c r="H9" s="169"/>
      <c r="I9" s="169" t="s">
        <v>32</v>
      </c>
      <c r="J9" s="170" t="s">
        <v>25</v>
      </c>
      <c r="K9" s="171" t="s">
        <v>33</v>
      </c>
      <c r="L9" s="170" t="s">
        <v>235</v>
      </c>
      <c r="M9" s="165" t="s">
        <v>232</v>
      </c>
      <c r="N9" s="172" t="s">
        <v>246</v>
      </c>
      <c r="O9" s="173" t="s">
        <v>35</v>
      </c>
      <c r="P9" s="169"/>
      <c r="Q9" s="169"/>
      <c r="R9" s="169" t="s">
        <v>37</v>
      </c>
    </row>
    <row r="10" spans="1:18" ht="29" x14ac:dyDescent="0.35">
      <c r="A10" s="164">
        <v>1.1000000000000001</v>
      </c>
      <c r="B10" s="165" t="s">
        <v>230</v>
      </c>
      <c r="C10" s="165" t="s">
        <v>231</v>
      </c>
      <c r="D10" s="165" t="s">
        <v>232</v>
      </c>
      <c r="E10" s="171" t="s">
        <v>247</v>
      </c>
      <c r="F10" s="173" t="s">
        <v>248</v>
      </c>
      <c r="G10" s="173" t="s">
        <v>44</v>
      </c>
      <c r="H10" s="169"/>
      <c r="I10" s="169" t="s">
        <v>32</v>
      </c>
      <c r="J10" s="170" t="s">
        <v>25</v>
      </c>
      <c r="K10" s="171" t="s">
        <v>33</v>
      </c>
      <c r="L10" s="170" t="s">
        <v>235</v>
      </c>
      <c r="M10" s="165" t="s">
        <v>232</v>
      </c>
      <c r="N10" s="173" t="s">
        <v>249</v>
      </c>
      <c r="O10" s="173" t="s">
        <v>44</v>
      </c>
      <c r="P10" s="169"/>
      <c r="Q10" s="169"/>
      <c r="R10" s="169" t="s">
        <v>37</v>
      </c>
    </row>
    <row r="11" spans="1:18" x14ac:dyDescent="0.35">
      <c r="A11" s="164">
        <v>1.1000000000000001</v>
      </c>
      <c r="B11" s="165" t="s">
        <v>230</v>
      </c>
      <c r="C11" s="165" t="s">
        <v>231</v>
      </c>
      <c r="D11" s="165" t="s">
        <v>232</v>
      </c>
      <c r="E11" s="171" t="s">
        <v>250</v>
      </c>
      <c r="F11" s="173" t="s">
        <v>251</v>
      </c>
      <c r="G11" s="173" t="s">
        <v>44</v>
      </c>
      <c r="H11" s="169"/>
      <c r="I11" s="169" t="s">
        <v>32</v>
      </c>
      <c r="J11" s="170" t="s">
        <v>25</v>
      </c>
      <c r="K11" s="171" t="s">
        <v>33</v>
      </c>
      <c r="L11" s="170" t="s">
        <v>235</v>
      </c>
      <c r="M11" s="165" t="s">
        <v>232</v>
      </c>
      <c r="N11" s="173" t="s">
        <v>252</v>
      </c>
      <c r="O11" s="173" t="s">
        <v>44</v>
      </c>
      <c r="P11" s="169"/>
      <c r="Q11" s="169"/>
      <c r="R11" s="169" t="s">
        <v>37</v>
      </c>
    </row>
    <row r="12" spans="1:18" x14ac:dyDescent="0.35">
      <c r="A12" s="164">
        <v>1.1000000000000001</v>
      </c>
      <c r="B12" s="165" t="s">
        <v>230</v>
      </c>
      <c r="C12" s="165" t="s">
        <v>231</v>
      </c>
      <c r="D12" s="165" t="s">
        <v>232</v>
      </c>
      <c r="E12" s="171" t="s">
        <v>253</v>
      </c>
      <c r="F12" s="174" t="s">
        <v>254</v>
      </c>
      <c r="G12" s="173" t="s">
        <v>255</v>
      </c>
      <c r="H12" s="169"/>
      <c r="I12" s="169" t="s">
        <v>32</v>
      </c>
      <c r="J12" s="170" t="s">
        <v>25</v>
      </c>
      <c r="K12" s="171" t="s">
        <v>33</v>
      </c>
      <c r="L12" s="170" t="s">
        <v>235</v>
      </c>
      <c r="M12" s="165" t="s">
        <v>232</v>
      </c>
      <c r="N12" s="174" t="s">
        <v>253</v>
      </c>
      <c r="O12" s="173" t="s">
        <v>255</v>
      </c>
      <c r="P12" s="169"/>
      <c r="Q12" s="169"/>
      <c r="R12" s="169" t="s">
        <v>37</v>
      </c>
    </row>
    <row r="13" spans="1:18" x14ac:dyDescent="0.35">
      <c r="A13" s="164">
        <v>1.1000000000000001</v>
      </c>
      <c r="B13" s="165" t="s">
        <v>230</v>
      </c>
      <c r="C13" s="165" t="s">
        <v>231</v>
      </c>
      <c r="D13" s="165" t="s">
        <v>232</v>
      </c>
      <c r="E13" s="171" t="s">
        <v>256</v>
      </c>
      <c r="F13" s="173" t="s">
        <v>257</v>
      </c>
      <c r="G13" s="173" t="s">
        <v>255</v>
      </c>
      <c r="H13" s="169"/>
      <c r="I13" s="169" t="s">
        <v>32</v>
      </c>
      <c r="J13" s="170" t="s">
        <v>25</v>
      </c>
      <c r="K13" s="171" t="s">
        <v>33</v>
      </c>
      <c r="L13" s="170" t="s">
        <v>235</v>
      </c>
      <c r="M13" s="165" t="s">
        <v>232</v>
      </c>
      <c r="N13" s="173" t="s">
        <v>258</v>
      </c>
      <c r="O13" s="173" t="s">
        <v>255</v>
      </c>
      <c r="P13" s="169"/>
      <c r="Q13" s="169"/>
      <c r="R13" s="169" t="s">
        <v>37</v>
      </c>
    </row>
    <row r="14" spans="1:18" x14ac:dyDescent="0.35">
      <c r="A14" s="164">
        <v>1.1000000000000001</v>
      </c>
      <c r="B14" s="165" t="s">
        <v>230</v>
      </c>
      <c r="C14" s="165" t="s">
        <v>231</v>
      </c>
      <c r="D14" s="165" t="s">
        <v>232</v>
      </c>
      <c r="E14" s="171" t="s">
        <v>259</v>
      </c>
      <c r="F14" s="173" t="s">
        <v>260</v>
      </c>
      <c r="G14" s="173" t="s">
        <v>255</v>
      </c>
      <c r="H14" s="169"/>
      <c r="I14" s="169" t="s">
        <v>32</v>
      </c>
      <c r="J14" s="170" t="s">
        <v>25</v>
      </c>
      <c r="K14" s="171" t="s">
        <v>33</v>
      </c>
      <c r="L14" s="170" t="s">
        <v>235</v>
      </c>
      <c r="M14" s="165" t="s">
        <v>232</v>
      </c>
      <c r="N14" s="173" t="s">
        <v>261</v>
      </c>
      <c r="O14" s="173" t="s">
        <v>255</v>
      </c>
      <c r="P14" s="169"/>
      <c r="Q14" s="169"/>
      <c r="R14" s="169" t="s">
        <v>37</v>
      </c>
    </row>
    <row r="15" spans="1:18" x14ac:dyDescent="0.35">
      <c r="A15" s="164">
        <v>1.1000000000000001</v>
      </c>
      <c r="B15" s="165" t="s">
        <v>230</v>
      </c>
      <c r="C15" s="165" t="s">
        <v>231</v>
      </c>
      <c r="D15" s="165" t="s">
        <v>232</v>
      </c>
      <c r="E15" s="171" t="s">
        <v>262</v>
      </c>
      <c r="F15" s="173" t="s">
        <v>263</v>
      </c>
      <c r="G15" s="173" t="s">
        <v>255</v>
      </c>
      <c r="H15" s="169"/>
      <c r="I15" s="169" t="s">
        <v>32</v>
      </c>
      <c r="J15" s="170" t="s">
        <v>25</v>
      </c>
      <c r="K15" s="171" t="s">
        <v>33</v>
      </c>
      <c r="L15" s="170" t="s">
        <v>235</v>
      </c>
      <c r="M15" s="165" t="s">
        <v>232</v>
      </c>
      <c r="N15" s="173" t="s">
        <v>264</v>
      </c>
      <c r="O15" s="173" t="s">
        <v>255</v>
      </c>
      <c r="P15" s="169"/>
      <c r="Q15" s="169"/>
      <c r="R15" s="169" t="s">
        <v>37</v>
      </c>
    </row>
    <row r="16" spans="1:18" x14ac:dyDescent="0.35">
      <c r="A16" s="164">
        <v>1.1000000000000001</v>
      </c>
      <c r="B16" s="165" t="s">
        <v>230</v>
      </c>
      <c r="C16" s="165" t="s">
        <v>231</v>
      </c>
      <c r="D16" s="165" t="s">
        <v>232</v>
      </c>
      <c r="E16" s="171" t="s">
        <v>265</v>
      </c>
      <c r="F16" s="173" t="s">
        <v>266</v>
      </c>
      <c r="G16" s="173" t="s">
        <v>44</v>
      </c>
      <c r="H16" s="169"/>
      <c r="I16" s="169" t="s">
        <v>32</v>
      </c>
      <c r="J16" s="170" t="s">
        <v>25</v>
      </c>
      <c r="K16" s="171" t="s">
        <v>33</v>
      </c>
      <c r="L16" s="170" t="s">
        <v>235</v>
      </c>
      <c r="M16" s="165" t="s">
        <v>232</v>
      </c>
      <c r="N16" s="173" t="s">
        <v>267</v>
      </c>
      <c r="O16" s="173" t="s">
        <v>44</v>
      </c>
      <c r="P16" s="169"/>
      <c r="Q16" s="169"/>
      <c r="R16" s="169" t="s">
        <v>37</v>
      </c>
    </row>
    <row r="17" spans="1:18" x14ac:dyDescent="0.35">
      <c r="A17" s="164">
        <v>1.1000000000000001</v>
      </c>
      <c r="B17" s="165" t="s">
        <v>230</v>
      </c>
      <c r="C17" s="165" t="s">
        <v>231</v>
      </c>
      <c r="D17" s="165" t="s">
        <v>232</v>
      </c>
      <c r="E17" s="171" t="s">
        <v>268</v>
      </c>
      <c r="F17" s="173" t="s">
        <v>269</v>
      </c>
      <c r="G17" s="173" t="s">
        <v>44</v>
      </c>
      <c r="H17" s="169"/>
      <c r="I17" s="169" t="s">
        <v>32</v>
      </c>
      <c r="J17" s="170" t="s">
        <v>25</v>
      </c>
      <c r="K17" s="171" t="s">
        <v>33</v>
      </c>
      <c r="L17" s="170" t="s">
        <v>235</v>
      </c>
      <c r="M17" s="165" t="s">
        <v>232</v>
      </c>
      <c r="N17" s="173" t="s">
        <v>270</v>
      </c>
      <c r="O17" s="173" t="s">
        <v>44</v>
      </c>
      <c r="P17" s="169"/>
      <c r="Q17" s="169"/>
      <c r="R17" s="169" t="s">
        <v>37</v>
      </c>
    </row>
    <row r="18" spans="1:18" x14ac:dyDescent="0.35">
      <c r="A18" s="164">
        <v>1.1000000000000001</v>
      </c>
      <c r="B18" s="165" t="s">
        <v>230</v>
      </c>
      <c r="C18" s="165" t="s">
        <v>231</v>
      </c>
      <c r="D18" s="165" t="s">
        <v>232</v>
      </c>
      <c r="E18" s="171" t="s">
        <v>271</v>
      </c>
      <c r="F18" s="173" t="s">
        <v>272</v>
      </c>
      <c r="G18" s="173" t="s">
        <v>44</v>
      </c>
      <c r="H18" s="169"/>
      <c r="I18" s="169" t="s">
        <v>32</v>
      </c>
      <c r="J18" s="170" t="s">
        <v>25</v>
      </c>
      <c r="K18" s="171" t="s">
        <v>33</v>
      </c>
      <c r="L18" s="170" t="s">
        <v>235</v>
      </c>
      <c r="M18" s="165" t="s">
        <v>232</v>
      </c>
      <c r="N18" s="173" t="s">
        <v>273</v>
      </c>
      <c r="O18" s="173" t="s">
        <v>44</v>
      </c>
      <c r="P18" s="169"/>
      <c r="Q18" s="169"/>
      <c r="R18" s="169" t="s">
        <v>37</v>
      </c>
    </row>
    <row r="19" spans="1:18" x14ac:dyDescent="0.35">
      <c r="A19" s="164">
        <v>1.1000000000000001</v>
      </c>
      <c r="B19" s="165" t="s">
        <v>230</v>
      </c>
      <c r="C19" s="165" t="s">
        <v>231</v>
      </c>
      <c r="D19" s="165" t="s">
        <v>232</v>
      </c>
      <c r="E19" s="171" t="s">
        <v>274</v>
      </c>
      <c r="F19" s="172" t="s">
        <v>275</v>
      </c>
      <c r="G19" s="173" t="s">
        <v>276</v>
      </c>
      <c r="H19" s="169"/>
      <c r="I19" s="169" t="s">
        <v>32</v>
      </c>
      <c r="J19" s="170" t="s">
        <v>25</v>
      </c>
      <c r="K19" s="171" t="s">
        <v>33</v>
      </c>
      <c r="L19" s="170" t="s">
        <v>235</v>
      </c>
      <c r="M19" s="165" t="s">
        <v>232</v>
      </c>
      <c r="N19" s="172" t="s">
        <v>277</v>
      </c>
      <c r="O19" s="173" t="s">
        <v>276</v>
      </c>
      <c r="P19" s="169"/>
      <c r="Q19" s="169"/>
      <c r="R19" s="169" t="s">
        <v>37</v>
      </c>
    </row>
    <row r="20" spans="1:18" x14ac:dyDescent="0.35">
      <c r="A20" s="164">
        <v>1.1000000000000001</v>
      </c>
      <c r="B20" s="165" t="s">
        <v>230</v>
      </c>
      <c r="C20" s="165" t="s">
        <v>231</v>
      </c>
      <c r="D20" s="165" t="s">
        <v>232</v>
      </c>
      <c r="E20" s="171" t="s">
        <v>278</v>
      </c>
      <c r="F20" s="173" t="s">
        <v>279</v>
      </c>
      <c r="G20" s="173" t="s">
        <v>255</v>
      </c>
      <c r="H20" s="169"/>
      <c r="I20" s="169" t="s">
        <v>32</v>
      </c>
      <c r="J20" s="170" t="s">
        <v>25</v>
      </c>
      <c r="K20" s="171" t="s">
        <v>33</v>
      </c>
      <c r="L20" s="170" t="s">
        <v>235</v>
      </c>
      <c r="M20" s="165" t="s">
        <v>232</v>
      </c>
      <c r="N20" s="173" t="s">
        <v>279</v>
      </c>
      <c r="O20" s="173" t="s">
        <v>255</v>
      </c>
      <c r="P20" s="169"/>
      <c r="Q20" s="169"/>
      <c r="R20" s="169" t="s">
        <v>37</v>
      </c>
    </row>
    <row r="21" spans="1:18" s="180" customFormat="1" x14ac:dyDescent="0.35">
      <c r="A21" s="175">
        <v>1.1000000000000001</v>
      </c>
      <c r="B21" s="176" t="s">
        <v>230</v>
      </c>
      <c r="C21" s="165" t="s">
        <v>231</v>
      </c>
      <c r="D21" s="165" t="s">
        <v>232</v>
      </c>
      <c r="E21" s="177" t="s">
        <v>280</v>
      </c>
      <c r="F21" s="178" t="s">
        <v>281</v>
      </c>
      <c r="G21" s="178" t="s">
        <v>44</v>
      </c>
      <c r="H21" s="179"/>
      <c r="I21" s="169" t="s">
        <v>32</v>
      </c>
      <c r="J21" s="170" t="s">
        <v>25</v>
      </c>
      <c r="K21" s="171" t="s">
        <v>33</v>
      </c>
      <c r="L21" s="170" t="s">
        <v>235</v>
      </c>
      <c r="M21" s="165" t="s">
        <v>232</v>
      </c>
      <c r="N21" s="178" t="s">
        <v>282</v>
      </c>
      <c r="O21" s="178" t="s">
        <v>44</v>
      </c>
      <c r="P21" s="179"/>
      <c r="Q21" s="179"/>
      <c r="R21" s="169" t="s">
        <v>37</v>
      </c>
    </row>
    <row r="22" spans="1:18" x14ac:dyDescent="0.35">
      <c r="A22" s="164">
        <v>1.1000000000000001</v>
      </c>
      <c r="B22" s="165" t="s">
        <v>230</v>
      </c>
      <c r="C22" s="165" t="s">
        <v>231</v>
      </c>
      <c r="D22" s="165" t="s">
        <v>232</v>
      </c>
      <c r="E22" s="171" t="s">
        <v>283</v>
      </c>
      <c r="F22" s="173" t="s">
        <v>284</v>
      </c>
      <c r="G22" s="173" t="s">
        <v>44</v>
      </c>
      <c r="H22" s="169"/>
      <c r="I22" s="169" t="s">
        <v>32</v>
      </c>
      <c r="J22" s="170" t="s">
        <v>25</v>
      </c>
      <c r="K22" s="171" t="s">
        <v>33</v>
      </c>
      <c r="L22" s="170" t="s">
        <v>235</v>
      </c>
      <c r="M22" s="165" t="s">
        <v>232</v>
      </c>
      <c r="N22" s="173" t="s">
        <v>285</v>
      </c>
      <c r="O22" s="173" t="s">
        <v>44</v>
      </c>
      <c r="P22" s="169"/>
      <c r="Q22" s="169"/>
      <c r="R22" s="169" t="s">
        <v>37</v>
      </c>
    </row>
    <row r="23" spans="1:18" x14ac:dyDescent="0.35">
      <c r="A23" s="164">
        <v>1.1000000000000001</v>
      </c>
      <c r="B23" s="165" t="s">
        <v>230</v>
      </c>
      <c r="C23" s="165" t="s">
        <v>231</v>
      </c>
      <c r="D23" s="165" t="s">
        <v>232</v>
      </c>
      <c r="E23" s="171" t="s">
        <v>286</v>
      </c>
      <c r="F23" s="173" t="s">
        <v>287</v>
      </c>
      <c r="G23" s="173" t="s">
        <v>44</v>
      </c>
      <c r="H23" s="169"/>
      <c r="I23" s="169" t="s">
        <v>32</v>
      </c>
      <c r="J23" s="170" t="s">
        <v>25</v>
      </c>
      <c r="K23" s="171" t="s">
        <v>33</v>
      </c>
      <c r="L23" s="170" t="s">
        <v>235</v>
      </c>
      <c r="M23" s="165" t="s">
        <v>232</v>
      </c>
      <c r="N23" s="173" t="s">
        <v>288</v>
      </c>
      <c r="O23" s="173" t="s">
        <v>44</v>
      </c>
      <c r="P23" s="169"/>
      <c r="Q23" s="169"/>
      <c r="R23" s="169" t="s">
        <v>37</v>
      </c>
    </row>
    <row r="24" spans="1:18" x14ac:dyDescent="0.35">
      <c r="A24" s="164">
        <v>1.1000000000000001</v>
      </c>
      <c r="B24" s="165" t="s">
        <v>230</v>
      </c>
      <c r="C24" s="165" t="s">
        <v>231</v>
      </c>
      <c r="D24" s="165" t="s">
        <v>232</v>
      </c>
      <c r="E24" s="171" t="s">
        <v>289</v>
      </c>
      <c r="F24" s="173" t="s">
        <v>290</v>
      </c>
      <c r="G24" s="173" t="s">
        <v>44</v>
      </c>
      <c r="H24" s="169"/>
      <c r="I24" s="169" t="s">
        <v>32</v>
      </c>
      <c r="J24" s="170" t="s">
        <v>25</v>
      </c>
      <c r="K24" s="171" t="s">
        <v>33</v>
      </c>
      <c r="L24" s="170" t="s">
        <v>235</v>
      </c>
      <c r="M24" s="165" t="s">
        <v>232</v>
      </c>
      <c r="N24" s="173" t="s">
        <v>290</v>
      </c>
      <c r="O24" s="173" t="s">
        <v>44</v>
      </c>
      <c r="P24" s="169"/>
      <c r="Q24" s="169"/>
      <c r="R24" s="169" t="s">
        <v>37</v>
      </c>
    </row>
    <row r="25" spans="1:18" x14ac:dyDescent="0.35">
      <c r="A25" s="164">
        <v>1.1000000000000001</v>
      </c>
      <c r="B25" s="165" t="s">
        <v>230</v>
      </c>
      <c r="C25" s="165" t="s">
        <v>231</v>
      </c>
      <c r="D25" s="165" t="s">
        <v>232</v>
      </c>
      <c r="E25" s="171" t="s">
        <v>291</v>
      </c>
      <c r="F25" s="173" t="s">
        <v>292</v>
      </c>
      <c r="G25" s="173" t="s">
        <v>44</v>
      </c>
      <c r="H25" s="169"/>
      <c r="I25" s="169" t="s">
        <v>32</v>
      </c>
      <c r="J25" s="170" t="s">
        <v>25</v>
      </c>
      <c r="K25" s="171" t="s">
        <v>33</v>
      </c>
      <c r="L25" s="170" t="s">
        <v>235</v>
      </c>
      <c r="M25" s="165" t="s">
        <v>232</v>
      </c>
      <c r="N25" s="173" t="s">
        <v>293</v>
      </c>
      <c r="O25" s="173" t="s">
        <v>44</v>
      </c>
      <c r="P25" s="169"/>
      <c r="Q25" s="169"/>
      <c r="R25" s="169" t="s">
        <v>37</v>
      </c>
    </row>
    <row r="26" spans="1:18" s="183" customFormat="1" x14ac:dyDescent="0.35">
      <c r="A26" s="164">
        <v>1.1000000000000001</v>
      </c>
      <c r="B26" s="165" t="s">
        <v>230</v>
      </c>
      <c r="C26" s="165" t="s">
        <v>231</v>
      </c>
      <c r="D26" s="165" t="s">
        <v>232</v>
      </c>
      <c r="E26" s="169"/>
      <c r="F26" s="181" t="s">
        <v>294</v>
      </c>
      <c r="G26" s="181" t="s">
        <v>44</v>
      </c>
      <c r="H26" s="181" t="s">
        <v>31</v>
      </c>
      <c r="I26" s="169" t="s">
        <v>32</v>
      </c>
      <c r="J26" s="170" t="s">
        <v>25</v>
      </c>
      <c r="K26" s="171" t="s">
        <v>33</v>
      </c>
      <c r="L26" s="170" t="s">
        <v>235</v>
      </c>
      <c r="M26" s="165" t="s">
        <v>232</v>
      </c>
      <c r="N26" s="181" t="s">
        <v>294</v>
      </c>
      <c r="O26" s="181" t="s">
        <v>44</v>
      </c>
      <c r="P26" s="182"/>
      <c r="Q26" s="182"/>
      <c r="R26" s="169" t="s">
        <v>37</v>
      </c>
    </row>
  </sheetData>
  <mergeCells count="3">
    <mergeCell ref="A1:H2"/>
    <mergeCell ref="I1:R2"/>
    <mergeCell ref="A3:H3"/>
  </mergeCells>
  <hyperlinks>
    <hyperlink ref="F12" r:id="rId1" display="https://purview.microsoft.com/datacatalog/governance/main/catalog/entity?guid=bfb977b4-4ac5-423d-9787-b3f6f6f6012f" xr:uid="{BF6E80DE-1927-4309-B9D2-8E64907517E7}"/>
    <hyperlink ref="N12" r:id="rId2" display="https://purview.microsoft.com/datacatalog/governance/main/catalog/entity?guid=bfb977b4-4ac5-423d-9787-b3f6f6f6012f" xr:uid="{18E55A75-8B6F-45FF-BD1C-11C69B8702F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AC31-8998-49A6-8170-8D504262FAA9}">
  <dimension ref="A1:R34"/>
  <sheetViews>
    <sheetView topLeftCell="C21" workbookViewId="0">
      <selection activeCell="E38" sqref="E38"/>
    </sheetView>
  </sheetViews>
  <sheetFormatPr defaultColWidth="8.7265625" defaultRowHeight="14.5" x14ac:dyDescent="0.35"/>
  <cols>
    <col min="1" max="1" width="14.7265625" style="184" bestFit="1" customWidth="1"/>
    <col min="2" max="2" width="22.453125" style="158" bestFit="1" customWidth="1"/>
    <col min="3" max="3" width="44" style="158" customWidth="1"/>
    <col min="4" max="4" width="19.1796875" style="158" bestFit="1" customWidth="1"/>
    <col min="5" max="5" width="27.1796875" style="158" bestFit="1" customWidth="1"/>
    <col min="6" max="6" width="44.54296875" style="158" customWidth="1"/>
    <col min="7" max="7" width="17.1796875" style="158" bestFit="1" customWidth="1"/>
    <col min="8" max="8" width="13.54296875" style="158" bestFit="1" customWidth="1"/>
    <col min="9" max="9" width="33.7265625" style="158" bestFit="1" customWidth="1"/>
    <col min="10" max="10" width="21" style="158" bestFit="1" customWidth="1"/>
    <col min="11" max="11" width="23.54296875" style="158" bestFit="1" customWidth="1"/>
    <col min="12" max="12" width="21.54296875" style="158" bestFit="1" customWidth="1"/>
    <col min="13" max="13" width="18.54296875" style="158" bestFit="1" customWidth="1"/>
    <col min="14" max="14" width="36.7265625" style="158" customWidth="1"/>
    <col min="15" max="15" width="16.453125" style="158" bestFit="1" customWidth="1"/>
    <col min="16" max="16" width="15.81640625" style="158" bestFit="1" customWidth="1"/>
    <col min="17" max="17" width="19.453125" style="158" bestFit="1" customWidth="1"/>
    <col min="18" max="18" width="29.453125" style="158" bestFit="1" customWidth="1"/>
    <col min="19" max="16384" width="8.7265625" style="158"/>
  </cols>
  <sheetData>
    <row r="1" spans="1:18" x14ac:dyDescent="0.35">
      <c r="A1" s="212" t="s">
        <v>0</v>
      </c>
      <c r="B1" s="212"/>
      <c r="C1" s="212"/>
      <c r="D1" s="212"/>
      <c r="E1" s="212"/>
      <c r="F1" s="212"/>
      <c r="G1" s="212"/>
      <c r="H1" s="212"/>
      <c r="I1" s="213" t="s">
        <v>1</v>
      </c>
      <c r="J1" s="213"/>
      <c r="K1" s="213"/>
      <c r="L1" s="213"/>
      <c r="M1" s="213"/>
      <c r="N1" s="213"/>
      <c r="O1" s="213"/>
      <c r="P1" s="213"/>
      <c r="Q1" s="213"/>
      <c r="R1" s="213"/>
    </row>
    <row r="2" spans="1:18" x14ac:dyDescent="0.35">
      <c r="A2" s="212"/>
      <c r="B2" s="212"/>
      <c r="C2" s="212"/>
      <c r="D2" s="212"/>
      <c r="E2" s="212"/>
      <c r="F2" s="212"/>
      <c r="G2" s="212"/>
      <c r="H2" s="212"/>
      <c r="I2" s="213"/>
      <c r="J2" s="213"/>
      <c r="K2" s="213"/>
      <c r="L2" s="213"/>
      <c r="M2" s="213"/>
      <c r="N2" s="213"/>
      <c r="O2" s="213"/>
      <c r="P2" s="213"/>
      <c r="Q2" s="213"/>
      <c r="R2" s="213"/>
    </row>
    <row r="3" spans="1:18" ht="23.5" x14ac:dyDescent="0.55000000000000004">
      <c r="A3" s="214" t="s">
        <v>2</v>
      </c>
      <c r="B3" s="215"/>
      <c r="C3" s="215"/>
      <c r="D3" s="215"/>
      <c r="E3" s="215"/>
      <c r="F3" s="215"/>
      <c r="G3" s="215"/>
      <c r="H3" s="215"/>
      <c r="I3" s="157"/>
      <c r="J3" s="157"/>
      <c r="K3" s="157"/>
      <c r="L3" s="157"/>
      <c r="M3" s="157"/>
      <c r="N3" s="157"/>
      <c r="O3" s="157"/>
      <c r="P3" s="157"/>
      <c r="Q3" s="159"/>
      <c r="R3" s="159"/>
    </row>
    <row r="4" spans="1:18" s="163" customFormat="1" ht="16" x14ac:dyDescent="0.35">
      <c r="A4" s="185" t="s">
        <v>3</v>
      </c>
      <c r="B4" s="185" t="s">
        <v>5</v>
      </c>
      <c r="C4" s="185" t="s">
        <v>6</v>
      </c>
      <c r="D4" s="185" t="s">
        <v>7</v>
      </c>
      <c r="E4" s="185" t="s">
        <v>228</v>
      </c>
      <c r="F4" s="185" t="s">
        <v>229</v>
      </c>
      <c r="G4" s="185" t="s">
        <v>10</v>
      </c>
      <c r="H4" s="185" t="s">
        <v>11</v>
      </c>
      <c r="I4" s="186" t="s">
        <v>13</v>
      </c>
      <c r="J4" s="187" t="s">
        <v>14</v>
      </c>
      <c r="K4" s="187" t="s">
        <v>15</v>
      </c>
      <c r="L4" s="187" t="s">
        <v>16</v>
      </c>
      <c r="M4" s="187" t="s">
        <v>17</v>
      </c>
      <c r="N4" s="187" t="s">
        <v>19</v>
      </c>
      <c r="O4" s="187" t="s">
        <v>20</v>
      </c>
      <c r="P4" s="187" t="s">
        <v>21</v>
      </c>
      <c r="Q4" s="187" t="s">
        <v>22</v>
      </c>
      <c r="R4" s="186" t="s">
        <v>23</v>
      </c>
    </row>
    <row r="5" spans="1:18" x14ac:dyDescent="0.35">
      <c r="A5" s="164">
        <v>1.1000000000000001</v>
      </c>
      <c r="B5" s="165" t="s">
        <v>230</v>
      </c>
      <c r="C5" s="165" t="s">
        <v>231</v>
      </c>
      <c r="D5" s="171" t="s">
        <v>295</v>
      </c>
      <c r="E5" s="166" t="s">
        <v>233</v>
      </c>
      <c r="F5" s="188" t="s">
        <v>234</v>
      </c>
      <c r="G5" s="173" t="e">
        <f>VLOOKUP(F5,[2]incidents_schema!$A$2:$B$378,2,0)</f>
        <v>#N/A</v>
      </c>
      <c r="H5" s="173" t="s">
        <v>31</v>
      </c>
      <c r="I5" s="171" t="s">
        <v>32</v>
      </c>
      <c r="J5" s="189" t="s">
        <v>25</v>
      </c>
      <c r="K5" s="171" t="s">
        <v>33</v>
      </c>
      <c r="L5" s="170" t="s">
        <v>235</v>
      </c>
      <c r="M5" s="171" t="s">
        <v>295</v>
      </c>
      <c r="N5" s="188" t="str">
        <f t="shared" ref="N5:N33" si="0">_xlfn.LET(_xlpm.x,CLEAN(SUBSTITUTE(E5,CHAR(160)," ")),_xlpm.y,SUBSTITUTE(SUBSTITUTE(SUBSTITUTE(SUBSTITUTE(SUBSTITUTE(SUBSTITUTE(SUBSTITUTE(_xlpm.x,"("," "),")"," "),"/"," "),"-"," "),"."," "),","," "),":"," "),_xlpm.z,TRIM(_xlpm.y),IF(LEN(_xlpm.z)=0,"(blank)",LOWER(SUBSTITUTE(_xlpm.z," ","_"))))</f>
        <v>number</v>
      </c>
      <c r="O5" s="173" t="s">
        <v>44</v>
      </c>
      <c r="P5" s="169"/>
      <c r="Q5" s="169"/>
      <c r="R5" s="169" t="s">
        <v>296</v>
      </c>
    </row>
    <row r="6" spans="1:18" x14ac:dyDescent="0.35">
      <c r="A6" s="164">
        <v>1.1000000000000001</v>
      </c>
      <c r="B6" s="165" t="s">
        <v>230</v>
      </c>
      <c r="C6" s="165" t="s">
        <v>231</v>
      </c>
      <c r="D6" s="171" t="s">
        <v>295</v>
      </c>
      <c r="E6" s="171" t="s">
        <v>237</v>
      </c>
      <c r="F6" s="172" t="s">
        <v>237</v>
      </c>
      <c r="G6" s="173" t="e">
        <f>VLOOKUP(F6,[2]incidents_schema!$A$2:$B$378,2,0)</f>
        <v>#N/A</v>
      </c>
      <c r="H6" s="169"/>
      <c r="I6" s="171" t="s">
        <v>32</v>
      </c>
      <c r="J6" s="189" t="s">
        <v>25</v>
      </c>
      <c r="K6" s="171" t="s">
        <v>33</v>
      </c>
      <c r="L6" s="170" t="s">
        <v>235</v>
      </c>
      <c r="M6" s="171" t="s">
        <v>295</v>
      </c>
      <c r="N6" s="188" t="str">
        <f t="shared" si="0"/>
        <v>priority</v>
      </c>
      <c r="O6" s="173" t="s">
        <v>35</v>
      </c>
      <c r="P6" s="169"/>
      <c r="Q6" s="169"/>
      <c r="R6" s="169" t="s">
        <v>296</v>
      </c>
    </row>
    <row r="7" spans="1:18" x14ac:dyDescent="0.35">
      <c r="A7" s="164">
        <v>1.1000000000000001</v>
      </c>
      <c r="B7" s="165" t="s">
        <v>230</v>
      </c>
      <c r="C7" s="165" t="s">
        <v>231</v>
      </c>
      <c r="D7" s="171" t="s">
        <v>295</v>
      </c>
      <c r="E7" s="171" t="s">
        <v>297</v>
      </c>
      <c r="F7" s="173" t="s">
        <v>298</v>
      </c>
      <c r="G7" s="173" t="e">
        <f>VLOOKUP(F7,[2]incidents_schema!$A$2:$B$378,2,0)</f>
        <v>#N/A</v>
      </c>
      <c r="H7" s="169"/>
      <c r="I7" s="171" t="s">
        <v>32</v>
      </c>
      <c r="J7" s="189" t="s">
        <v>25</v>
      </c>
      <c r="K7" s="171" t="s">
        <v>33</v>
      </c>
      <c r="L7" s="170" t="s">
        <v>235</v>
      </c>
      <c r="M7" s="171" t="s">
        <v>295</v>
      </c>
      <c r="N7" s="188" t="str">
        <f t="shared" si="0"/>
        <v>reopened</v>
      </c>
      <c r="O7" s="173" t="s">
        <v>44</v>
      </c>
      <c r="P7" s="169"/>
      <c r="Q7" s="169"/>
      <c r="R7" s="169" t="s">
        <v>296</v>
      </c>
    </row>
    <row r="8" spans="1:18" x14ac:dyDescent="0.35">
      <c r="A8" s="164">
        <v>1.1000000000000001</v>
      </c>
      <c r="B8" s="165" t="s">
        <v>230</v>
      </c>
      <c r="C8" s="165" t="s">
        <v>231</v>
      </c>
      <c r="D8" s="171" t="s">
        <v>295</v>
      </c>
      <c r="E8" s="171" t="s">
        <v>299</v>
      </c>
      <c r="F8" s="172" t="s">
        <v>299</v>
      </c>
      <c r="G8" s="173" t="str">
        <f>VLOOKUP(F8,[2]incidents_schema!$A$2:$B$378,2,0)</f>
        <v>Array[string]</v>
      </c>
      <c r="H8" s="169"/>
      <c r="I8" s="171" t="s">
        <v>32</v>
      </c>
      <c r="J8" s="189" t="s">
        <v>25</v>
      </c>
      <c r="K8" s="171" t="s">
        <v>33</v>
      </c>
      <c r="L8" s="170" t="s">
        <v>235</v>
      </c>
      <c r="M8" s="171" t="s">
        <v>295</v>
      </c>
      <c r="N8" s="188" t="str">
        <f t="shared" si="0"/>
        <v>state</v>
      </c>
      <c r="O8" s="173" t="s">
        <v>44</v>
      </c>
      <c r="P8" s="169"/>
      <c r="Q8" s="169"/>
      <c r="R8" s="169" t="s">
        <v>296</v>
      </c>
    </row>
    <row r="9" spans="1:18" x14ac:dyDescent="0.35">
      <c r="A9" s="164">
        <v>1.1000000000000001</v>
      </c>
      <c r="B9" s="165" t="s">
        <v>230</v>
      </c>
      <c r="C9" s="165" t="s">
        <v>231</v>
      </c>
      <c r="D9" s="166" t="s">
        <v>295</v>
      </c>
      <c r="E9" s="166" t="s">
        <v>300</v>
      </c>
      <c r="F9" s="188" t="s">
        <v>301</v>
      </c>
      <c r="G9" s="173" t="e">
        <f>VLOOKUP(F9,[2]incidents_schema!$A$2:$B$378,2,0)</f>
        <v>#N/A</v>
      </c>
      <c r="H9" s="169"/>
      <c r="I9" s="171" t="s">
        <v>32</v>
      </c>
      <c r="J9" s="189" t="s">
        <v>25</v>
      </c>
      <c r="K9" s="171" t="s">
        <v>33</v>
      </c>
      <c r="L9" s="170" t="s">
        <v>235</v>
      </c>
      <c r="M9" s="166" t="s">
        <v>295</v>
      </c>
      <c r="N9" s="188" t="str">
        <f t="shared" si="0"/>
        <v>assigned_to</v>
      </c>
      <c r="O9" s="173" t="s">
        <v>44</v>
      </c>
      <c r="P9" s="169"/>
      <c r="Q9" s="169"/>
      <c r="R9" s="169" t="s">
        <v>296</v>
      </c>
    </row>
    <row r="10" spans="1:18" x14ac:dyDescent="0.35">
      <c r="A10" s="164">
        <v>1.1000000000000001</v>
      </c>
      <c r="B10" s="165" t="s">
        <v>230</v>
      </c>
      <c r="C10" s="165" t="s">
        <v>231</v>
      </c>
      <c r="D10" s="171" t="s">
        <v>295</v>
      </c>
      <c r="E10" s="171" t="s">
        <v>245</v>
      </c>
      <c r="F10" s="172" t="s">
        <v>245</v>
      </c>
      <c r="G10" s="173" t="e">
        <f>VLOOKUP(F10,[2]incidents_schema!$A$2:$B$378,2,0)</f>
        <v>#N/A</v>
      </c>
      <c r="H10" s="169"/>
      <c r="I10" s="171" t="s">
        <v>32</v>
      </c>
      <c r="J10" s="189" t="s">
        <v>25</v>
      </c>
      <c r="K10" s="171" t="s">
        <v>33</v>
      </c>
      <c r="L10" s="170" t="s">
        <v>235</v>
      </c>
      <c r="M10" s="171" t="s">
        <v>295</v>
      </c>
      <c r="N10" s="188" t="str">
        <f t="shared" si="0"/>
        <v>escalation</v>
      </c>
      <c r="O10" s="173" t="s">
        <v>44</v>
      </c>
      <c r="P10" s="169"/>
      <c r="Q10" s="169"/>
      <c r="R10" s="169" t="s">
        <v>296</v>
      </c>
    </row>
    <row r="11" spans="1:18" x14ac:dyDescent="0.35">
      <c r="A11" s="164">
        <v>1.1000000000000001</v>
      </c>
      <c r="B11" s="165" t="s">
        <v>230</v>
      </c>
      <c r="C11" s="165" t="s">
        <v>231</v>
      </c>
      <c r="D11" s="166" t="s">
        <v>295</v>
      </c>
      <c r="E11" s="166" t="s">
        <v>302</v>
      </c>
      <c r="F11" s="188" t="s">
        <v>303</v>
      </c>
      <c r="G11" s="173" t="e">
        <f>VLOOKUP(F11,[2]incidents_schema!$A$2:$B$378,2,0)</f>
        <v>#N/A</v>
      </c>
      <c r="H11" s="169"/>
      <c r="I11" s="171" t="s">
        <v>32</v>
      </c>
      <c r="J11" s="189" t="s">
        <v>25</v>
      </c>
      <c r="K11" s="171" t="s">
        <v>33</v>
      </c>
      <c r="L11" s="170" t="s">
        <v>235</v>
      </c>
      <c r="M11" s="166" t="s">
        <v>295</v>
      </c>
      <c r="N11" s="188" t="str">
        <f t="shared" si="0"/>
        <v>short_description</v>
      </c>
      <c r="O11" s="173" t="s">
        <v>44</v>
      </c>
      <c r="P11" s="169"/>
      <c r="Q11" s="169"/>
      <c r="R11" s="169" t="s">
        <v>296</v>
      </c>
    </row>
    <row r="12" spans="1:18" x14ac:dyDescent="0.35">
      <c r="A12" s="164">
        <v>1.1000000000000001</v>
      </c>
      <c r="B12" s="165" t="s">
        <v>230</v>
      </c>
      <c r="C12" s="165" t="s">
        <v>231</v>
      </c>
      <c r="D12" s="171" t="s">
        <v>295</v>
      </c>
      <c r="E12" s="171" t="s">
        <v>250</v>
      </c>
      <c r="F12" s="173" t="s">
        <v>304</v>
      </c>
      <c r="G12" s="173" t="e">
        <f>VLOOKUP(F12,[2]incidents_schema!$A$2:$B$378,2,0)</f>
        <v>#N/A</v>
      </c>
      <c r="H12" s="169"/>
      <c r="I12" s="171" t="s">
        <v>32</v>
      </c>
      <c r="J12" s="189" t="s">
        <v>25</v>
      </c>
      <c r="K12" s="171" t="s">
        <v>33</v>
      </c>
      <c r="L12" s="170" t="s">
        <v>235</v>
      </c>
      <c r="M12" s="171" t="s">
        <v>295</v>
      </c>
      <c r="N12" s="188" t="str">
        <f t="shared" si="0"/>
        <v>task_type</v>
      </c>
      <c r="O12" s="173" t="s">
        <v>44</v>
      </c>
      <c r="P12" s="169"/>
      <c r="Q12" s="169"/>
      <c r="R12" s="169" t="s">
        <v>296</v>
      </c>
    </row>
    <row r="13" spans="1:18" x14ac:dyDescent="0.35">
      <c r="A13" s="164">
        <v>1.1000000000000001</v>
      </c>
      <c r="B13" s="165" t="s">
        <v>230</v>
      </c>
      <c r="C13" s="165" t="s">
        <v>231</v>
      </c>
      <c r="D13" s="171" t="s">
        <v>295</v>
      </c>
      <c r="E13" s="171" t="s">
        <v>305</v>
      </c>
      <c r="F13" s="174" t="s">
        <v>254</v>
      </c>
      <c r="G13" s="173" t="e">
        <f>VLOOKUP(F13,[2]incidents_schema!$A$2:$B$378,2,0)</f>
        <v>#N/A</v>
      </c>
      <c r="H13" s="169"/>
      <c r="I13" s="171" t="s">
        <v>32</v>
      </c>
      <c r="J13" s="189" t="s">
        <v>25</v>
      </c>
      <c r="K13" s="171" t="s">
        <v>33</v>
      </c>
      <c r="L13" s="170" t="s">
        <v>235</v>
      </c>
      <c r="M13" s="171" t="s">
        <v>295</v>
      </c>
      <c r="N13" s="188" t="str">
        <f t="shared" si="0"/>
        <v>created</v>
      </c>
      <c r="O13" s="173" t="s">
        <v>255</v>
      </c>
      <c r="P13" s="169"/>
      <c r="Q13" s="169"/>
      <c r="R13" s="169" t="s">
        <v>296</v>
      </c>
    </row>
    <row r="14" spans="1:18" x14ac:dyDescent="0.35">
      <c r="A14" s="164">
        <v>1.1000000000000001</v>
      </c>
      <c r="B14" s="165" t="s">
        <v>230</v>
      </c>
      <c r="C14" s="165" t="s">
        <v>231</v>
      </c>
      <c r="D14" s="171" t="s">
        <v>295</v>
      </c>
      <c r="E14" s="171" t="s">
        <v>265</v>
      </c>
      <c r="F14" s="172" t="s">
        <v>266</v>
      </c>
      <c r="G14" s="173" t="s">
        <v>44</v>
      </c>
      <c r="H14" s="169"/>
      <c r="I14" s="171" t="s">
        <v>32</v>
      </c>
      <c r="J14" s="189" t="s">
        <v>25</v>
      </c>
      <c r="K14" s="171" t="s">
        <v>33</v>
      </c>
      <c r="L14" s="170" t="s">
        <v>235</v>
      </c>
      <c r="M14" s="171" t="s">
        <v>295</v>
      </c>
      <c r="N14" s="188" t="str">
        <f t="shared" si="0"/>
        <v>created_by</v>
      </c>
      <c r="O14" s="173" t="s">
        <v>44</v>
      </c>
      <c r="P14" s="169"/>
      <c r="Q14" s="169"/>
      <c r="R14" s="169" t="s">
        <v>296</v>
      </c>
    </row>
    <row r="15" spans="1:18" x14ac:dyDescent="0.35">
      <c r="A15" s="164">
        <v>1.1000000000000001</v>
      </c>
      <c r="B15" s="165" t="s">
        <v>230</v>
      </c>
      <c r="C15" s="165" t="s">
        <v>231</v>
      </c>
      <c r="D15" s="171" t="s">
        <v>295</v>
      </c>
      <c r="E15" s="171" t="s">
        <v>262</v>
      </c>
      <c r="F15" s="190" t="s">
        <v>263</v>
      </c>
      <c r="G15" s="173" t="s">
        <v>255</v>
      </c>
      <c r="H15" s="169"/>
      <c r="I15" s="171" t="s">
        <v>32</v>
      </c>
      <c r="J15" s="189" t="s">
        <v>25</v>
      </c>
      <c r="K15" s="171" t="s">
        <v>33</v>
      </c>
      <c r="L15" s="170" t="s">
        <v>235</v>
      </c>
      <c r="M15" s="171" t="s">
        <v>295</v>
      </c>
      <c r="N15" s="188" t="str">
        <f t="shared" si="0"/>
        <v>last_updated</v>
      </c>
      <c r="O15" s="173" t="s">
        <v>255</v>
      </c>
      <c r="P15" s="169"/>
      <c r="Q15" s="169"/>
      <c r="R15" s="169" t="s">
        <v>296</v>
      </c>
    </row>
    <row r="16" spans="1:18" x14ac:dyDescent="0.35">
      <c r="A16" s="164">
        <v>1.1000000000000001</v>
      </c>
      <c r="B16" s="165" t="s">
        <v>230</v>
      </c>
      <c r="C16" s="165" t="s">
        <v>231</v>
      </c>
      <c r="D16" s="171" t="s">
        <v>295</v>
      </c>
      <c r="E16" s="171" t="s">
        <v>268</v>
      </c>
      <c r="F16" s="173" t="s">
        <v>269</v>
      </c>
      <c r="G16" s="172" t="s">
        <v>44</v>
      </c>
      <c r="H16" s="169"/>
      <c r="I16" s="171" t="s">
        <v>32</v>
      </c>
      <c r="J16" s="189" t="s">
        <v>25</v>
      </c>
      <c r="K16" s="171" t="s">
        <v>33</v>
      </c>
      <c r="L16" s="170" t="s">
        <v>235</v>
      </c>
      <c r="M16" s="171" t="s">
        <v>295</v>
      </c>
      <c r="N16" s="188" t="str">
        <f t="shared" si="0"/>
        <v>updated_by</v>
      </c>
      <c r="O16" s="172" t="s">
        <v>44</v>
      </c>
      <c r="P16" s="169"/>
      <c r="Q16" s="169"/>
      <c r="R16" s="169" t="s">
        <v>296</v>
      </c>
    </row>
    <row r="17" spans="1:18" x14ac:dyDescent="0.35">
      <c r="A17" s="164">
        <v>1.1000000000000001</v>
      </c>
      <c r="B17" s="165" t="s">
        <v>230</v>
      </c>
      <c r="C17" s="165" t="s">
        <v>231</v>
      </c>
      <c r="D17" s="171" t="s">
        <v>295</v>
      </c>
      <c r="E17" s="171" t="s">
        <v>271</v>
      </c>
      <c r="F17" s="173" t="s">
        <v>306</v>
      </c>
      <c r="G17" s="173" t="s">
        <v>44</v>
      </c>
      <c r="H17" s="169"/>
      <c r="I17" s="171" t="s">
        <v>32</v>
      </c>
      <c r="J17" s="189" t="s">
        <v>25</v>
      </c>
      <c r="K17" s="171" t="s">
        <v>33</v>
      </c>
      <c r="L17" s="170" t="s">
        <v>235</v>
      </c>
      <c r="M17" s="171" t="s">
        <v>295</v>
      </c>
      <c r="N17" s="188" t="str">
        <f t="shared" si="0"/>
        <v>work_notes</v>
      </c>
      <c r="O17" s="173" t="s">
        <v>44</v>
      </c>
      <c r="P17" s="169"/>
      <c r="Q17" s="169"/>
      <c r="R17" s="169" t="s">
        <v>296</v>
      </c>
    </row>
    <row r="18" spans="1:18" x14ac:dyDescent="0.35">
      <c r="A18" s="164">
        <v>1.1000000000000001</v>
      </c>
      <c r="B18" s="165" t="s">
        <v>230</v>
      </c>
      <c r="C18" s="165" t="s">
        <v>231</v>
      </c>
      <c r="D18" s="171" t="s">
        <v>295</v>
      </c>
      <c r="E18" s="171" t="s">
        <v>274</v>
      </c>
      <c r="F18" s="173" t="s">
        <v>275</v>
      </c>
      <c r="G18" s="173" t="s">
        <v>255</v>
      </c>
      <c r="H18" s="173"/>
      <c r="I18" s="171" t="s">
        <v>32</v>
      </c>
      <c r="J18" s="189" t="s">
        <v>25</v>
      </c>
      <c r="K18" s="171" t="s">
        <v>33</v>
      </c>
      <c r="L18" s="170" t="s">
        <v>235</v>
      </c>
      <c r="M18" s="171" t="s">
        <v>295</v>
      </c>
      <c r="N18" s="188" t="str">
        <f t="shared" si="0"/>
        <v>activity_due</v>
      </c>
      <c r="O18" s="173" t="s">
        <v>255</v>
      </c>
      <c r="P18" s="169"/>
      <c r="Q18" s="169"/>
      <c r="R18" s="169" t="s">
        <v>296</v>
      </c>
    </row>
    <row r="19" spans="1:18" x14ac:dyDescent="0.35">
      <c r="A19" s="164">
        <v>1.1000000000000001</v>
      </c>
      <c r="B19" s="165" t="s">
        <v>230</v>
      </c>
      <c r="C19" s="165" t="s">
        <v>231</v>
      </c>
      <c r="D19" s="166" t="s">
        <v>295</v>
      </c>
      <c r="E19" s="166" t="s">
        <v>280</v>
      </c>
      <c r="F19" s="191" t="s">
        <v>281</v>
      </c>
      <c r="G19" s="191" t="s">
        <v>44</v>
      </c>
      <c r="H19" s="173"/>
      <c r="I19" s="171" t="s">
        <v>32</v>
      </c>
      <c r="J19" s="189" t="s">
        <v>25</v>
      </c>
      <c r="K19" s="171" t="s">
        <v>33</v>
      </c>
      <c r="L19" s="170" t="s">
        <v>235</v>
      </c>
      <c r="M19" s="166" t="s">
        <v>295</v>
      </c>
      <c r="N19" s="188" t="str">
        <f t="shared" si="0"/>
        <v>additional_comments</v>
      </c>
      <c r="O19" s="191" t="s">
        <v>44</v>
      </c>
      <c r="P19" s="169"/>
      <c r="Q19" s="169"/>
      <c r="R19" s="169" t="s">
        <v>296</v>
      </c>
    </row>
    <row r="20" spans="1:18" x14ac:dyDescent="0.35">
      <c r="A20" s="164">
        <v>1.1000000000000001</v>
      </c>
      <c r="B20" s="165" t="s">
        <v>230</v>
      </c>
      <c r="C20" s="165" t="s">
        <v>231</v>
      </c>
      <c r="D20" s="171" t="s">
        <v>295</v>
      </c>
      <c r="E20" s="171" t="s">
        <v>278</v>
      </c>
      <c r="F20" s="173" t="s">
        <v>279</v>
      </c>
      <c r="G20" s="173" t="s">
        <v>276</v>
      </c>
      <c r="H20" s="191"/>
      <c r="I20" s="171" t="s">
        <v>32</v>
      </c>
      <c r="J20" s="189" t="s">
        <v>25</v>
      </c>
      <c r="K20" s="171" t="s">
        <v>33</v>
      </c>
      <c r="L20" s="170" t="s">
        <v>235</v>
      </c>
      <c r="M20" s="171" t="s">
        <v>295</v>
      </c>
      <c r="N20" s="188" t="str">
        <f t="shared" si="0"/>
        <v>active</v>
      </c>
      <c r="O20" s="173" t="s">
        <v>276</v>
      </c>
      <c r="P20" s="169"/>
      <c r="Q20" s="169"/>
      <c r="R20" s="169" t="s">
        <v>296</v>
      </c>
    </row>
    <row r="21" spans="1:18" s="180" customFormat="1" x14ac:dyDescent="0.35">
      <c r="A21" s="175">
        <v>1.1000000000000001</v>
      </c>
      <c r="B21" s="176" t="s">
        <v>230</v>
      </c>
      <c r="C21" s="165" t="s">
        <v>231</v>
      </c>
      <c r="D21" s="171" t="s">
        <v>295</v>
      </c>
      <c r="E21" s="192" t="s">
        <v>307</v>
      </c>
      <c r="F21" s="176" t="s">
        <v>308</v>
      </c>
      <c r="G21" s="193" t="s">
        <v>255</v>
      </c>
      <c r="H21" s="173"/>
      <c r="I21" s="171" t="s">
        <v>32</v>
      </c>
      <c r="J21" s="189" t="s">
        <v>25</v>
      </c>
      <c r="K21" s="171" t="s">
        <v>33</v>
      </c>
      <c r="L21" s="170" t="s">
        <v>235</v>
      </c>
      <c r="M21" s="171" t="s">
        <v>295</v>
      </c>
      <c r="N21" s="188" t="str">
        <f t="shared" si="0"/>
        <v>resolved</v>
      </c>
      <c r="O21" s="193" t="s">
        <v>255</v>
      </c>
      <c r="P21" s="179"/>
      <c r="Q21" s="179"/>
      <c r="R21" s="169" t="s">
        <v>296</v>
      </c>
    </row>
    <row r="22" spans="1:18" x14ac:dyDescent="0.35">
      <c r="A22" s="164">
        <v>1.1000000000000001</v>
      </c>
      <c r="B22" s="165" t="s">
        <v>230</v>
      </c>
      <c r="C22" s="165" t="s">
        <v>231</v>
      </c>
      <c r="D22" s="171" t="s">
        <v>295</v>
      </c>
      <c r="E22" s="171" t="s">
        <v>309</v>
      </c>
      <c r="F22" s="191" t="s">
        <v>310</v>
      </c>
      <c r="G22" s="173" t="s">
        <v>255</v>
      </c>
      <c r="H22" s="169"/>
      <c r="I22" s="171" t="s">
        <v>32</v>
      </c>
      <c r="J22" s="189" t="s">
        <v>25</v>
      </c>
      <c r="K22" s="171" t="s">
        <v>33</v>
      </c>
      <c r="L22" s="170" t="s">
        <v>235</v>
      </c>
      <c r="M22" s="171" t="s">
        <v>295</v>
      </c>
      <c r="N22" s="188" t="str">
        <f t="shared" si="0"/>
        <v>opened</v>
      </c>
      <c r="O22" s="173" t="s">
        <v>255</v>
      </c>
      <c r="P22" s="169"/>
      <c r="Q22" s="169"/>
      <c r="R22" s="169" t="s">
        <v>296</v>
      </c>
    </row>
    <row r="23" spans="1:18" x14ac:dyDescent="0.35">
      <c r="A23" s="164">
        <v>1.1000000000000001</v>
      </c>
      <c r="B23" s="165" t="s">
        <v>230</v>
      </c>
      <c r="C23" s="165" t="s">
        <v>231</v>
      </c>
      <c r="D23" s="171" t="s">
        <v>295</v>
      </c>
      <c r="E23" s="171" t="s">
        <v>311</v>
      </c>
      <c r="F23" s="191" t="s">
        <v>312</v>
      </c>
      <c r="G23" s="173" t="s">
        <v>255</v>
      </c>
      <c r="H23" s="169"/>
      <c r="I23" s="171" t="s">
        <v>32</v>
      </c>
      <c r="J23" s="189" t="s">
        <v>25</v>
      </c>
      <c r="K23" s="171" t="s">
        <v>33</v>
      </c>
      <c r="L23" s="170" t="s">
        <v>235</v>
      </c>
      <c r="M23" s="171" t="s">
        <v>295</v>
      </c>
      <c r="N23" s="188" t="str">
        <f t="shared" si="0"/>
        <v>promoted</v>
      </c>
      <c r="O23" s="173" t="s">
        <v>255</v>
      </c>
      <c r="P23" s="169"/>
      <c r="Q23" s="169"/>
      <c r="R23" s="169" t="s">
        <v>296</v>
      </c>
    </row>
    <row r="24" spans="1:18" x14ac:dyDescent="0.35">
      <c r="A24" s="164">
        <v>1.1000000000000001</v>
      </c>
      <c r="B24" s="165" t="s">
        <v>230</v>
      </c>
      <c r="C24" s="165" t="s">
        <v>231</v>
      </c>
      <c r="D24" s="171" t="s">
        <v>295</v>
      </c>
      <c r="E24" s="171" t="s">
        <v>313</v>
      </c>
      <c r="F24" s="173" t="s">
        <v>314</v>
      </c>
      <c r="G24" s="173" t="s">
        <v>44</v>
      </c>
      <c r="H24" s="169"/>
      <c r="I24" s="171" t="s">
        <v>32</v>
      </c>
      <c r="J24" s="189" t="s">
        <v>25</v>
      </c>
      <c r="K24" s="171" t="s">
        <v>33</v>
      </c>
      <c r="L24" s="170" t="s">
        <v>235</v>
      </c>
      <c r="M24" s="171" t="s">
        <v>295</v>
      </c>
      <c r="N24" s="188" t="str">
        <f t="shared" si="0"/>
        <v>segment_impacted</v>
      </c>
      <c r="O24" s="173" t="s">
        <v>44</v>
      </c>
      <c r="P24" s="169"/>
      <c r="Q24" s="169"/>
      <c r="R24" s="169" t="s">
        <v>296</v>
      </c>
    </row>
    <row r="25" spans="1:18" x14ac:dyDescent="0.35">
      <c r="A25" s="164">
        <v>1.1000000000000001</v>
      </c>
      <c r="B25" s="165" t="s">
        <v>230</v>
      </c>
      <c r="C25" s="165" t="s">
        <v>231</v>
      </c>
      <c r="D25" s="171" t="s">
        <v>295</v>
      </c>
      <c r="E25" s="171" t="s">
        <v>315</v>
      </c>
      <c r="F25" s="173" t="s">
        <v>316</v>
      </c>
      <c r="G25" s="173" t="s">
        <v>44</v>
      </c>
      <c r="H25" s="169"/>
      <c r="I25" s="171" t="s">
        <v>32</v>
      </c>
      <c r="J25" s="189" t="s">
        <v>25</v>
      </c>
      <c r="K25" s="171" t="s">
        <v>33</v>
      </c>
      <c r="L25" s="170" t="s">
        <v>235</v>
      </c>
      <c r="M25" s="171" t="s">
        <v>295</v>
      </c>
      <c r="N25" s="188" t="str">
        <f t="shared" si="0"/>
        <v>initial_segment_accountable</v>
      </c>
      <c r="O25" s="173" t="s">
        <v>44</v>
      </c>
      <c r="P25" s="169"/>
      <c r="Q25" s="169"/>
      <c r="R25" s="169" t="s">
        <v>296</v>
      </c>
    </row>
    <row r="26" spans="1:18" x14ac:dyDescent="0.35">
      <c r="A26" s="164">
        <v>1.1000000000000001</v>
      </c>
      <c r="B26" s="165" t="s">
        <v>230</v>
      </c>
      <c r="C26" s="165" t="s">
        <v>231</v>
      </c>
      <c r="D26" s="171" t="s">
        <v>295</v>
      </c>
      <c r="E26" s="171" t="s">
        <v>317</v>
      </c>
      <c r="F26" s="173" t="s">
        <v>316</v>
      </c>
      <c r="G26" s="173" t="s">
        <v>44</v>
      </c>
      <c r="H26" s="169"/>
      <c r="I26" s="171" t="s">
        <v>32</v>
      </c>
      <c r="J26" s="189" t="s">
        <v>25</v>
      </c>
      <c r="K26" s="171" t="s">
        <v>33</v>
      </c>
      <c r="L26" s="170" t="s">
        <v>235</v>
      </c>
      <c r="M26" s="171" t="s">
        <v>295</v>
      </c>
      <c r="N26" s="188" t="str">
        <f t="shared" si="0"/>
        <v>segment_accountable</v>
      </c>
      <c r="O26" s="173" t="s">
        <v>44</v>
      </c>
      <c r="P26" s="169"/>
      <c r="Q26" s="169"/>
      <c r="R26" s="169" t="s">
        <v>296</v>
      </c>
    </row>
    <row r="27" spans="1:18" x14ac:dyDescent="0.35">
      <c r="A27" s="164">
        <v>1.1000000000000001</v>
      </c>
      <c r="B27" s="165" t="s">
        <v>230</v>
      </c>
      <c r="C27" s="165" t="s">
        <v>231</v>
      </c>
      <c r="D27" s="171" t="s">
        <v>295</v>
      </c>
      <c r="E27" s="171" t="s">
        <v>318</v>
      </c>
      <c r="F27" s="191" t="s">
        <v>319</v>
      </c>
      <c r="G27" s="173" t="s">
        <v>44</v>
      </c>
      <c r="H27" s="169"/>
      <c r="I27" s="171" t="s">
        <v>32</v>
      </c>
      <c r="J27" s="189" t="s">
        <v>25</v>
      </c>
      <c r="K27" s="171" t="s">
        <v>33</v>
      </c>
      <c r="L27" s="170" t="s">
        <v>235</v>
      </c>
      <c r="M27" s="171" t="s">
        <v>295</v>
      </c>
      <c r="N27" s="188" t="str">
        <f t="shared" si="0"/>
        <v>bu_impacted</v>
      </c>
      <c r="O27" s="173" t="s">
        <v>44</v>
      </c>
      <c r="P27" s="169"/>
      <c r="Q27" s="169"/>
      <c r="R27" s="169" t="s">
        <v>296</v>
      </c>
    </row>
    <row r="28" spans="1:18" x14ac:dyDescent="0.35">
      <c r="A28" s="164">
        <v>1.1000000000000001</v>
      </c>
      <c r="B28" s="165" t="s">
        <v>230</v>
      </c>
      <c r="C28" s="165" t="s">
        <v>231</v>
      </c>
      <c r="D28" s="171" t="s">
        <v>295</v>
      </c>
      <c r="E28" s="171" t="s">
        <v>320</v>
      </c>
      <c r="F28" s="173" t="s">
        <v>321</v>
      </c>
      <c r="G28" s="173" t="s">
        <v>322</v>
      </c>
      <c r="H28" s="169"/>
      <c r="I28" s="171" t="s">
        <v>32</v>
      </c>
      <c r="J28" s="189" t="s">
        <v>25</v>
      </c>
      <c r="K28" s="171" t="s">
        <v>33</v>
      </c>
      <c r="L28" s="170" t="s">
        <v>235</v>
      </c>
      <c r="M28" s="171" t="s">
        <v>295</v>
      </c>
      <c r="N28" s="188" t="str">
        <f t="shared" si="0"/>
        <v>mean_time_to_restore_mttr</v>
      </c>
      <c r="O28" s="173" t="s">
        <v>322</v>
      </c>
      <c r="P28" s="169"/>
      <c r="Q28" s="169"/>
      <c r="R28" s="169" t="s">
        <v>296</v>
      </c>
    </row>
    <row r="29" spans="1:18" x14ac:dyDescent="0.35">
      <c r="A29" s="164">
        <v>1.1000000000000001</v>
      </c>
      <c r="B29" s="165" t="s">
        <v>230</v>
      </c>
      <c r="C29" s="165" t="s">
        <v>231</v>
      </c>
      <c r="D29" s="171" t="s">
        <v>295</v>
      </c>
      <c r="E29" s="171" t="s">
        <v>323</v>
      </c>
      <c r="F29" s="173" t="s">
        <v>324</v>
      </c>
      <c r="G29" s="173" t="s">
        <v>44</v>
      </c>
      <c r="H29" s="169"/>
      <c r="I29" s="171" t="s">
        <v>32</v>
      </c>
      <c r="J29" s="189" t="s">
        <v>25</v>
      </c>
      <c r="K29" s="171" t="s">
        <v>33</v>
      </c>
      <c r="L29" s="170" t="s">
        <v>235</v>
      </c>
      <c r="M29" s="171" t="s">
        <v>295</v>
      </c>
      <c r="N29" s="188" t="str">
        <f t="shared" si="0"/>
        <v>caused_by_change</v>
      </c>
      <c r="O29" s="173" t="s">
        <v>44</v>
      </c>
      <c r="P29" s="169"/>
      <c r="Q29" s="169"/>
      <c r="R29" s="169" t="s">
        <v>296</v>
      </c>
    </row>
    <row r="30" spans="1:18" x14ac:dyDescent="0.35">
      <c r="A30" s="164">
        <v>1.1000000000000001</v>
      </c>
      <c r="B30" s="165" t="s">
        <v>230</v>
      </c>
      <c r="C30" s="165" t="s">
        <v>231</v>
      </c>
      <c r="D30" s="171" t="s">
        <v>295</v>
      </c>
      <c r="E30" s="171" t="s">
        <v>325</v>
      </c>
      <c r="F30" s="173" t="s">
        <v>326</v>
      </c>
      <c r="G30" s="173" t="s">
        <v>44</v>
      </c>
      <c r="H30" s="169"/>
      <c r="I30" s="171" t="s">
        <v>32</v>
      </c>
      <c r="J30" s="189" t="s">
        <v>25</v>
      </c>
      <c r="K30" s="171" t="s">
        <v>33</v>
      </c>
      <c r="L30" s="170" t="s">
        <v>235</v>
      </c>
      <c r="M30" s="171" t="s">
        <v>295</v>
      </c>
      <c r="N30" s="188" t="str">
        <f t="shared" si="0"/>
        <v>communication_status</v>
      </c>
      <c r="O30" s="173" t="s">
        <v>44</v>
      </c>
      <c r="P30" s="169"/>
      <c r="Q30" s="169"/>
      <c r="R30" s="169" t="s">
        <v>296</v>
      </c>
    </row>
    <row r="31" spans="1:18" x14ac:dyDescent="0.35">
      <c r="A31" s="164">
        <v>1.1000000000000001</v>
      </c>
      <c r="B31" s="165" t="s">
        <v>230</v>
      </c>
      <c r="C31" s="165" t="s">
        <v>231</v>
      </c>
      <c r="D31" s="171" t="s">
        <v>295</v>
      </c>
      <c r="E31" s="171" t="s">
        <v>327</v>
      </c>
      <c r="F31" s="173" t="s">
        <v>328</v>
      </c>
      <c r="G31" s="173" t="s">
        <v>44</v>
      </c>
      <c r="H31" s="169"/>
      <c r="I31" s="171" t="s">
        <v>32</v>
      </c>
      <c r="J31" s="189" t="s">
        <v>25</v>
      </c>
      <c r="K31" s="171" t="s">
        <v>33</v>
      </c>
      <c r="L31" s="170" t="s">
        <v>235</v>
      </c>
      <c r="M31" s="171" t="s">
        <v>295</v>
      </c>
      <c r="N31" s="188" t="str">
        <f t="shared" si="0"/>
        <v>type_of_impact</v>
      </c>
      <c r="O31" s="173" t="s">
        <v>44</v>
      </c>
      <c r="P31" s="169"/>
      <c r="Q31" s="169"/>
      <c r="R31" s="169" t="s">
        <v>296</v>
      </c>
    </row>
    <row r="32" spans="1:18" x14ac:dyDescent="0.35">
      <c r="A32" s="164">
        <v>1.1000000000000001</v>
      </c>
      <c r="B32" s="165" t="s">
        <v>230</v>
      </c>
      <c r="C32" s="165" t="s">
        <v>231</v>
      </c>
      <c r="D32" s="171" t="s">
        <v>295</v>
      </c>
      <c r="E32" s="171" t="s">
        <v>329</v>
      </c>
      <c r="F32" s="173" t="s">
        <v>330</v>
      </c>
      <c r="G32" s="173" t="s">
        <v>44</v>
      </c>
      <c r="H32" s="169"/>
      <c r="I32" s="171" t="s">
        <v>32</v>
      </c>
      <c r="J32" s="189" t="s">
        <v>25</v>
      </c>
      <c r="K32" s="171" t="s">
        <v>33</v>
      </c>
      <c r="L32" s="170" t="s">
        <v>235</v>
      </c>
      <c r="M32" s="171" t="s">
        <v>295</v>
      </c>
      <c r="N32" s="188" t="str">
        <f t="shared" si="0"/>
        <v>number_of_customers_impacted</v>
      </c>
      <c r="O32" s="173" t="s">
        <v>44</v>
      </c>
      <c r="P32" s="169"/>
      <c r="Q32" s="169"/>
      <c r="R32" s="169" t="s">
        <v>296</v>
      </c>
    </row>
    <row r="33" spans="1:18" x14ac:dyDescent="0.35">
      <c r="A33" s="164">
        <v>1.1000000000000001</v>
      </c>
      <c r="B33" s="165" t="s">
        <v>230</v>
      </c>
      <c r="C33" s="165" t="s">
        <v>231</v>
      </c>
      <c r="D33" s="171" t="s">
        <v>295</v>
      </c>
      <c r="E33" s="171" t="s">
        <v>331</v>
      </c>
      <c r="F33" s="173" t="s">
        <v>332</v>
      </c>
      <c r="G33" s="173" t="s">
        <v>44</v>
      </c>
      <c r="H33" s="169"/>
      <c r="I33" s="171" t="s">
        <v>32</v>
      </c>
      <c r="J33" s="189" t="s">
        <v>25</v>
      </c>
      <c r="K33" s="171" t="s">
        <v>33</v>
      </c>
      <c r="L33" s="170" t="s">
        <v>235</v>
      </c>
      <c r="M33" s="171" t="s">
        <v>295</v>
      </c>
      <c r="N33" s="188" t="str">
        <f t="shared" si="0"/>
        <v>regions_impacted</v>
      </c>
      <c r="O33" s="173" t="s">
        <v>44</v>
      </c>
      <c r="P33" s="169"/>
      <c r="Q33" s="169"/>
      <c r="R33" s="169" t="s">
        <v>296</v>
      </c>
    </row>
    <row r="34" spans="1:18" s="183" customFormat="1" x14ac:dyDescent="0.35">
      <c r="A34" s="194">
        <v>1.1000000000000001</v>
      </c>
      <c r="B34" s="195" t="s">
        <v>230</v>
      </c>
      <c r="C34" s="165" t="s">
        <v>231</v>
      </c>
      <c r="D34" s="196" t="s">
        <v>295</v>
      </c>
      <c r="E34" s="169"/>
      <c r="F34" s="181" t="s">
        <v>294</v>
      </c>
      <c r="G34" s="181" t="s">
        <v>44</v>
      </c>
      <c r="H34" s="181" t="s">
        <v>31</v>
      </c>
      <c r="I34" s="171" t="s">
        <v>32</v>
      </c>
      <c r="J34" s="189" t="s">
        <v>25</v>
      </c>
      <c r="K34" s="171" t="s">
        <v>33</v>
      </c>
      <c r="L34" s="170" t="s">
        <v>235</v>
      </c>
      <c r="M34" s="196" t="s">
        <v>295</v>
      </c>
      <c r="N34" s="197" t="s">
        <v>294</v>
      </c>
      <c r="O34" s="181" t="s">
        <v>44</v>
      </c>
      <c r="P34" s="182"/>
      <c r="Q34" s="182"/>
      <c r="R34" s="169" t="s">
        <v>296</v>
      </c>
    </row>
  </sheetData>
  <mergeCells count="3">
    <mergeCell ref="A1:H2"/>
    <mergeCell ref="I1:R2"/>
    <mergeCell ref="A3:H3"/>
  </mergeCells>
  <hyperlinks>
    <hyperlink ref="F13" r:id="rId1" display="https://purview.microsoft.com/datacatalog/governance/main/catalog/entity?guid=bfb977b4-4ac5-423d-9787-b3f6f6f6012f" xr:uid="{238AEBC7-2A44-4823-B59E-E6D36C9EEBF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021C-B4F6-4230-8588-2FE1CA845859}">
  <dimension ref="A1:R6"/>
  <sheetViews>
    <sheetView workbookViewId="0">
      <selection activeCell="C13" sqref="C13"/>
    </sheetView>
  </sheetViews>
  <sheetFormatPr defaultColWidth="8.7265625" defaultRowHeight="14.5" x14ac:dyDescent="0.35"/>
  <cols>
    <col min="1" max="1" width="8.26953125" style="2" bestFit="1" customWidth="1"/>
    <col min="2" max="2" width="15.81640625" style="2" bestFit="1" customWidth="1"/>
    <col min="3" max="3" width="71.81640625" style="2" bestFit="1" customWidth="1"/>
    <col min="4" max="4" width="13.81640625" style="2" bestFit="1" customWidth="1"/>
    <col min="5" max="5" width="15.81640625" style="2" bestFit="1" customWidth="1"/>
    <col min="6" max="6" width="16.7265625" style="2" bestFit="1" customWidth="1"/>
    <col min="7" max="7" width="10.54296875" style="2" bestFit="1" customWidth="1"/>
    <col min="8" max="8" width="7.1796875" style="2" bestFit="1" customWidth="1"/>
    <col min="9" max="9" width="16.81640625" style="2" bestFit="1" customWidth="1"/>
    <col min="10" max="10" width="19.54296875" style="2" bestFit="1" customWidth="1"/>
    <col min="11" max="11" width="19.453125" style="2" bestFit="1" customWidth="1"/>
    <col min="12" max="12" width="15.1796875" style="2" bestFit="1" customWidth="1"/>
    <col min="13" max="13" width="13.81640625" style="2" bestFit="1" customWidth="1"/>
    <col min="14" max="14" width="11.54296875" style="2" bestFit="1" customWidth="1"/>
    <col min="15" max="15" width="10" style="2" bestFit="1" customWidth="1"/>
    <col min="16" max="16" width="11.54296875" style="2" bestFit="1" customWidth="1"/>
    <col min="17" max="17" width="14.81640625" style="2" bestFit="1" customWidth="1"/>
    <col min="18" max="18" width="16.1796875" style="2" bestFit="1" customWidth="1"/>
    <col min="19" max="16384" width="8.7265625" style="2"/>
  </cols>
  <sheetData>
    <row r="1" spans="1:18" x14ac:dyDescent="0.35">
      <c r="A1" s="216" t="s">
        <v>0</v>
      </c>
      <c r="B1" s="216"/>
      <c r="C1" s="216"/>
      <c r="D1" s="216"/>
      <c r="E1" s="216"/>
      <c r="F1" s="216"/>
      <c r="G1" s="216"/>
      <c r="H1" s="216"/>
      <c r="I1" s="217" t="s">
        <v>1</v>
      </c>
      <c r="J1" s="217"/>
      <c r="K1" s="217"/>
      <c r="L1" s="217"/>
      <c r="M1" s="217"/>
      <c r="N1" s="217"/>
      <c r="O1" s="217"/>
      <c r="P1" s="217"/>
      <c r="Q1" s="217"/>
      <c r="R1" s="217"/>
    </row>
    <row r="2" spans="1:18" x14ac:dyDescent="0.35">
      <c r="A2" s="216"/>
      <c r="B2" s="216"/>
      <c r="C2" s="216"/>
      <c r="D2" s="216"/>
      <c r="E2" s="216"/>
      <c r="F2" s="216"/>
      <c r="G2" s="216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</row>
    <row r="3" spans="1:18" ht="23.5" x14ac:dyDescent="0.35">
      <c r="A3" s="218" t="s">
        <v>2</v>
      </c>
      <c r="B3" s="219"/>
      <c r="C3" s="219"/>
      <c r="D3" s="219"/>
      <c r="E3" s="219"/>
      <c r="F3" s="219"/>
      <c r="G3" s="219"/>
      <c r="H3" s="219"/>
      <c r="I3" s="198"/>
      <c r="J3" s="198"/>
      <c r="K3" s="198"/>
      <c r="L3" s="198"/>
      <c r="M3" s="198"/>
      <c r="N3" s="198"/>
      <c r="O3" s="198"/>
      <c r="P3" s="198"/>
      <c r="Q3" s="199"/>
      <c r="R3" s="199"/>
    </row>
    <row r="4" spans="1:18" ht="32" x14ac:dyDescent="0.35">
      <c r="A4" s="185" t="s">
        <v>3</v>
      </c>
      <c r="B4" s="185" t="s">
        <v>5</v>
      </c>
      <c r="C4" s="185" t="s">
        <v>6</v>
      </c>
      <c r="D4" s="185" t="s">
        <v>7</v>
      </c>
      <c r="E4" s="185" t="s">
        <v>228</v>
      </c>
      <c r="F4" s="185" t="s">
        <v>229</v>
      </c>
      <c r="G4" s="185" t="s">
        <v>10</v>
      </c>
      <c r="H4" s="185" t="s">
        <v>11</v>
      </c>
      <c r="I4" s="186" t="s">
        <v>13</v>
      </c>
      <c r="J4" s="187" t="s">
        <v>14</v>
      </c>
      <c r="K4" s="187" t="s">
        <v>15</v>
      </c>
      <c r="L4" s="187" t="s">
        <v>16</v>
      </c>
      <c r="M4" s="187" t="s">
        <v>17</v>
      </c>
      <c r="N4" s="187" t="s">
        <v>19</v>
      </c>
      <c r="O4" s="187" t="s">
        <v>20</v>
      </c>
      <c r="P4" s="187" t="s">
        <v>21</v>
      </c>
      <c r="Q4" s="187" t="s">
        <v>22</v>
      </c>
      <c r="R4" s="186" t="s">
        <v>23</v>
      </c>
    </row>
    <row r="5" spans="1:18" x14ac:dyDescent="0.35">
      <c r="A5" s="20">
        <v>1.1000000000000001</v>
      </c>
      <c r="B5" s="20" t="s">
        <v>230</v>
      </c>
      <c r="C5" s="20" t="s">
        <v>231</v>
      </c>
      <c r="D5" s="20" t="s">
        <v>232</v>
      </c>
      <c r="E5" s="20"/>
      <c r="F5" s="19" t="s">
        <v>294</v>
      </c>
      <c r="G5" s="19" t="s">
        <v>44</v>
      </c>
      <c r="H5" s="19" t="s">
        <v>31</v>
      </c>
      <c r="I5" s="20" t="s">
        <v>32</v>
      </c>
      <c r="J5" s="20" t="s">
        <v>25</v>
      </c>
      <c r="K5" s="20" t="s">
        <v>33</v>
      </c>
      <c r="L5" s="20" t="s">
        <v>235</v>
      </c>
      <c r="M5" s="20" t="s">
        <v>333</v>
      </c>
      <c r="N5" s="20" t="s">
        <v>294</v>
      </c>
      <c r="O5" s="20" t="s">
        <v>44</v>
      </c>
      <c r="P5" s="20"/>
      <c r="Q5" s="20"/>
      <c r="R5" s="20" t="s">
        <v>37</v>
      </c>
    </row>
    <row r="6" spans="1:18" x14ac:dyDescent="0.35">
      <c r="A6" s="164">
        <v>1.1000000000000001</v>
      </c>
      <c r="B6" s="165" t="s">
        <v>230</v>
      </c>
      <c r="C6" s="165" t="s">
        <v>231</v>
      </c>
      <c r="D6" s="165" t="s">
        <v>333</v>
      </c>
      <c r="E6" s="172" t="s">
        <v>334</v>
      </c>
      <c r="F6" s="173" t="s">
        <v>335</v>
      </c>
      <c r="G6" s="20" t="s">
        <v>44</v>
      </c>
      <c r="H6" s="173"/>
      <c r="I6" s="171" t="s">
        <v>32</v>
      </c>
      <c r="J6" s="165" t="s">
        <v>25</v>
      </c>
      <c r="K6" s="171" t="s">
        <v>33</v>
      </c>
      <c r="L6" s="165" t="s">
        <v>235</v>
      </c>
      <c r="M6" s="165" t="s">
        <v>333</v>
      </c>
      <c r="N6" s="173" t="s">
        <v>335</v>
      </c>
      <c r="O6" s="173" t="s">
        <v>44</v>
      </c>
      <c r="P6" s="173"/>
      <c r="Q6" s="173"/>
      <c r="R6" s="169" t="s">
        <v>37</v>
      </c>
    </row>
  </sheetData>
  <mergeCells count="3">
    <mergeCell ref="A1:H2"/>
    <mergeCell ref="I1:R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7BBA-F8B4-40E6-AC28-1B5E45A1C0C4}">
  <dimension ref="A1:R6"/>
  <sheetViews>
    <sheetView topLeftCell="A10" workbookViewId="0">
      <selection activeCell="F11" sqref="F11"/>
    </sheetView>
  </sheetViews>
  <sheetFormatPr defaultColWidth="16.7265625" defaultRowHeight="14.5" x14ac:dyDescent="0.35"/>
  <cols>
    <col min="1" max="1" width="8.1796875" style="2" bestFit="1" customWidth="1"/>
    <col min="2" max="2" width="15.453125" style="2" bestFit="1" customWidth="1"/>
    <col min="3" max="3" width="32.453125" style="2" customWidth="1"/>
    <col min="4" max="4" width="31" style="2" customWidth="1"/>
    <col min="5" max="5" width="15.54296875" style="2" bestFit="1" customWidth="1"/>
    <col min="6" max="6" width="16.1796875" style="2" bestFit="1" customWidth="1"/>
    <col min="7" max="7" width="10.1796875" style="2" bestFit="1" customWidth="1"/>
    <col min="8" max="8" width="6.7265625" style="2" bestFit="1" customWidth="1"/>
    <col min="9" max="9" width="16.54296875" style="2" bestFit="1" customWidth="1"/>
    <col min="10" max="10" width="19.26953125" style="2" bestFit="1" customWidth="1"/>
    <col min="11" max="11" width="19.1796875" style="2" bestFit="1" customWidth="1"/>
    <col min="12" max="12" width="14.54296875" style="2" bestFit="1" customWidth="1"/>
    <col min="13" max="13" width="11.7265625" style="2" bestFit="1" customWidth="1"/>
    <col min="14" max="14" width="23.54296875" style="2" customWidth="1"/>
    <col min="15" max="15" width="10" style="2" bestFit="1" customWidth="1"/>
    <col min="16" max="16" width="11.453125" style="2" bestFit="1" customWidth="1"/>
    <col min="17" max="17" width="14.81640625" style="2" bestFit="1" customWidth="1"/>
    <col min="18" max="18" width="16.1796875" style="2" bestFit="1" customWidth="1"/>
    <col min="19" max="16384" width="16.7265625" style="2"/>
  </cols>
  <sheetData>
    <row r="1" spans="1:18" x14ac:dyDescent="0.35">
      <c r="A1" s="216" t="s">
        <v>0</v>
      </c>
      <c r="B1" s="216"/>
      <c r="C1" s="216"/>
      <c r="D1" s="216"/>
      <c r="E1" s="216"/>
      <c r="F1" s="216"/>
      <c r="G1" s="216"/>
      <c r="H1" s="216"/>
      <c r="I1" s="217" t="s">
        <v>1</v>
      </c>
      <c r="J1" s="217"/>
      <c r="K1" s="217"/>
      <c r="L1" s="217"/>
      <c r="M1" s="217"/>
      <c r="N1" s="217"/>
      <c r="O1" s="217"/>
      <c r="P1" s="217"/>
      <c r="Q1" s="217"/>
      <c r="R1" s="217"/>
    </row>
    <row r="2" spans="1:18" x14ac:dyDescent="0.35">
      <c r="A2" s="216"/>
      <c r="B2" s="216"/>
      <c r="C2" s="216"/>
      <c r="D2" s="216"/>
      <c r="E2" s="216"/>
      <c r="F2" s="216"/>
      <c r="G2" s="216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</row>
    <row r="3" spans="1:18" ht="23.5" x14ac:dyDescent="0.35">
      <c r="A3" s="218" t="s">
        <v>2</v>
      </c>
      <c r="B3" s="219"/>
      <c r="C3" s="219"/>
      <c r="D3" s="219"/>
      <c r="E3" s="219"/>
      <c r="F3" s="219"/>
      <c r="G3" s="219"/>
      <c r="H3" s="219"/>
      <c r="I3" s="198"/>
      <c r="J3" s="198"/>
      <c r="K3" s="198"/>
      <c r="L3" s="198"/>
      <c r="M3" s="198"/>
      <c r="N3" s="198"/>
      <c r="O3" s="198"/>
      <c r="P3" s="198"/>
      <c r="Q3" s="199"/>
      <c r="R3" s="199"/>
    </row>
    <row r="4" spans="1:18" ht="32" x14ac:dyDescent="0.35">
      <c r="A4" s="185" t="s">
        <v>3</v>
      </c>
      <c r="B4" s="185" t="s">
        <v>5</v>
      </c>
      <c r="C4" s="185" t="s">
        <v>6</v>
      </c>
      <c r="D4" s="185" t="s">
        <v>7</v>
      </c>
      <c r="E4" s="185" t="s">
        <v>228</v>
      </c>
      <c r="F4" s="185" t="s">
        <v>229</v>
      </c>
      <c r="G4" s="185" t="s">
        <v>10</v>
      </c>
      <c r="H4" s="185" t="s">
        <v>11</v>
      </c>
      <c r="I4" s="186" t="s">
        <v>13</v>
      </c>
      <c r="J4" s="187" t="s">
        <v>14</v>
      </c>
      <c r="K4" s="187" t="s">
        <v>15</v>
      </c>
      <c r="L4" s="187" t="s">
        <v>16</v>
      </c>
      <c r="M4" s="187" t="s">
        <v>17</v>
      </c>
      <c r="N4" s="187" t="s">
        <v>19</v>
      </c>
      <c r="O4" s="187" t="s">
        <v>20</v>
      </c>
      <c r="P4" s="187" t="s">
        <v>21</v>
      </c>
      <c r="Q4" s="187" t="s">
        <v>22</v>
      </c>
      <c r="R4" s="186" t="s">
        <v>23</v>
      </c>
    </row>
    <row r="5" spans="1:18" x14ac:dyDescent="0.35">
      <c r="A5" s="20">
        <v>1.1000000000000001</v>
      </c>
      <c r="B5" s="20" t="s">
        <v>230</v>
      </c>
      <c r="C5" s="20" t="s">
        <v>231</v>
      </c>
      <c r="D5" s="171" t="s">
        <v>336</v>
      </c>
      <c r="E5" s="20"/>
      <c r="F5" s="19" t="s">
        <v>294</v>
      </c>
      <c r="G5" s="19" t="s">
        <v>44</v>
      </c>
      <c r="H5" s="19" t="s">
        <v>31</v>
      </c>
      <c r="I5" s="20" t="s">
        <v>32</v>
      </c>
      <c r="J5" s="20" t="s">
        <v>25</v>
      </c>
      <c r="K5" s="20" t="s">
        <v>33</v>
      </c>
      <c r="L5" s="20" t="s">
        <v>235</v>
      </c>
      <c r="M5" s="20" t="s">
        <v>336</v>
      </c>
      <c r="N5" s="20" t="s">
        <v>294</v>
      </c>
      <c r="O5" s="20" t="s">
        <v>44</v>
      </c>
      <c r="P5" s="20"/>
      <c r="Q5" s="20"/>
      <c r="R5" s="20" t="s">
        <v>296</v>
      </c>
    </row>
    <row r="6" spans="1:18" ht="29" x14ac:dyDescent="0.35">
      <c r="A6" s="164">
        <v>1.1000000000000001</v>
      </c>
      <c r="B6" s="165" t="s">
        <v>230</v>
      </c>
      <c r="C6" s="165" t="s">
        <v>231</v>
      </c>
      <c r="D6" s="171" t="s">
        <v>336</v>
      </c>
      <c r="E6" s="171" t="s">
        <v>337</v>
      </c>
      <c r="F6" s="173" t="s">
        <v>338</v>
      </c>
      <c r="G6" s="173" t="s">
        <v>239</v>
      </c>
      <c r="H6" s="172" t="s">
        <v>222</v>
      </c>
      <c r="I6" s="171" t="s">
        <v>32</v>
      </c>
      <c r="J6" s="200" t="s">
        <v>25</v>
      </c>
      <c r="K6" s="171" t="s">
        <v>33</v>
      </c>
      <c r="L6" s="165" t="s">
        <v>235</v>
      </c>
      <c r="M6" s="171" t="s">
        <v>336</v>
      </c>
      <c r="N6" s="188" t="str" cm="1">
        <f t="array" ref="N6">_xlfn.LET(_xlpm.x,CLEAN(SUBSTITUTE(E6,CHAR(160)," ")),_xlpm.y,SUBSTITUTE(SUBSTITUTE(SUBSTITUTE(SUBSTITUTE(SUBSTITUTE(SUBSTITUTE(SUBSTITUTE(_xlpm.x,"("," "),")"," "),"/"," "),"-"," "),"."," "),","," "),":"," "),_xlpm.z,TRIM(_xlpm.y),IF(LEN(_xlpm.z)=0,"(blank)",LOWER(SUBSTITUTE(_xlpm.z," ","_"))))</f>
        <v>resolve_time</v>
      </c>
      <c r="O6" s="173" t="s">
        <v>339</v>
      </c>
      <c r="P6" s="173"/>
      <c r="Q6" s="173"/>
      <c r="R6" s="169" t="s">
        <v>296</v>
      </c>
    </row>
  </sheetData>
  <mergeCells count="3">
    <mergeCell ref="A1:H2"/>
    <mergeCell ref="I1:R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35A7-AFD0-4675-878B-E9991AFED99F}">
  <dimension ref="A1:R6"/>
  <sheetViews>
    <sheetView zoomScale="51" zoomScaleNormal="51" workbookViewId="0">
      <selection activeCell="D19" sqref="D19"/>
    </sheetView>
  </sheetViews>
  <sheetFormatPr defaultColWidth="8.7265625" defaultRowHeight="14.5" x14ac:dyDescent="0.35"/>
  <cols>
    <col min="1" max="1" width="8.1796875" style="2" bestFit="1" customWidth="1"/>
    <col min="2" max="2" width="15.453125" style="2" bestFit="1" customWidth="1"/>
    <col min="3" max="3" width="27.54296875" style="2" customWidth="1"/>
    <col min="4" max="4" width="12.1796875" style="2" bestFit="1" customWidth="1"/>
    <col min="5" max="5" width="15.54296875" style="2" bestFit="1" customWidth="1"/>
    <col min="6" max="6" width="22" style="2" customWidth="1"/>
    <col min="7" max="7" width="10.1796875" style="2" bestFit="1" customWidth="1"/>
    <col min="8" max="8" width="6.7265625" style="2" bestFit="1" customWidth="1"/>
    <col min="9" max="9" width="16.54296875" style="2" bestFit="1" customWidth="1"/>
    <col min="10" max="10" width="19.26953125" style="2" bestFit="1" customWidth="1"/>
    <col min="11" max="11" width="25.1796875" style="2" customWidth="1"/>
    <col min="12" max="12" width="14.54296875" style="2" bestFit="1" customWidth="1"/>
    <col min="13" max="13" width="11.7265625" style="2" bestFit="1" customWidth="1"/>
    <col min="14" max="14" width="19.81640625" style="2" customWidth="1"/>
    <col min="15" max="15" width="9.453125" style="2" bestFit="1" customWidth="1"/>
    <col min="16" max="16" width="11.453125" style="2" bestFit="1" customWidth="1"/>
    <col min="17" max="17" width="14.81640625" style="2" bestFit="1" customWidth="1"/>
    <col min="18" max="18" width="16.1796875" style="2" bestFit="1" customWidth="1"/>
    <col min="19" max="16384" width="8.7265625" style="2"/>
  </cols>
  <sheetData>
    <row r="1" spans="1:18" x14ac:dyDescent="0.35">
      <c r="A1" s="216" t="s">
        <v>0</v>
      </c>
      <c r="B1" s="216"/>
      <c r="C1" s="216"/>
      <c r="D1" s="216"/>
      <c r="E1" s="216"/>
      <c r="F1" s="216"/>
      <c r="G1" s="216"/>
      <c r="H1" s="216"/>
      <c r="I1" s="217" t="s">
        <v>1</v>
      </c>
      <c r="J1" s="217"/>
      <c r="K1" s="217"/>
      <c r="L1" s="217"/>
      <c r="M1" s="217"/>
      <c r="N1" s="217"/>
      <c r="O1" s="217"/>
      <c r="P1" s="217"/>
      <c r="Q1" s="217"/>
      <c r="R1" s="217"/>
    </row>
    <row r="2" spans="1:18" x14ac:dyDescent="0.35">
      <c r="A2" s="216"/>
      <c r="B2" s="216"/>
      <c r="C2" s="216"/>
      <c r="D2" s="216"/>
      <c r="E2" s="216"/>
      <c r="F2" s="216"/>
      <c r="G2" s="216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</row>
    <row r="3" spans="1:18" ht="23.5" x14ac:dyDescent="0.35">
      <c r="A3" s="218" t="s">
        <v>2</v>
      </c>
      <c r="B3" s="219"/>
      <c r="C3" s="219"/>
      <c r="D3" s="219"/>
      <c r="E3" s="219"/>
      <c r="F3" s="219"/>
      <c r="G3" s="219"/>
      <c r="H3" s="219"/>
      <c r="I3" s="198"/>
      <c r="J3" s="198"/>
      <c r="K3" s="198"/>
      <c r="L3" s="198"/>
      <c r="M3" s="198"/>
      <c r="N3" s="198"/>
      <c r="O3" s="198"/>
      <c r="P3" s="198"/>
      <c r="Q3" s="199"/>
      <c r="R3" s="199"/>
    </row>
    <row r="4" spans="1:18" ht="32" x14ac:dyDescent="0.35">
      <c r="A4" s="185" t="s">
        <v>3</v>
      </c>
      <c r="B4" s="185" t="s">
        <v>5</v>
      </c>
      <c r="C4" s="185" t="s">
        <v>6</v>
      </c>
      <c r="D4" s="185" t="s">
        <v>7</v>
      </c>
      <c r="E4" s="185" t="s">
        <v>228</v>
      </c>
      <c r="F4" s="185" t="s">
        <v>229</v>
      </c>
      <c r="G4" s="185" t="s">
        <v>10</v>
      </c>
      <c r="H4" s="185" t="s">
        <v>11</v>
      </c>
      <c r="I4" s="186" t="s">
        <v>13</v>
      </c>
      <c r="J4" s="187" t="s">
        <v>14</v>
      </c>
      <c r="K4" s="187" t="s">
        <v>15</v>
      </c>
      <c r="L4" s="187" t="s">
        <v>16</v>
      </c>
      <c r="M4" s="187" t="s">
        <v>17</v>
      </c>
      <c r="N4" s="187" t="s">
        <v>19</v>
      </c>
      <c r="O4" s="187" t="s">
        <v>20</v>
      </c>
      <c r="P4" s="187" t="s">
        <v>21</v>
      </c>
      <c r="Q4" s="187" t="s">
        <v>22</v>
      </c>
      <c r="R4" s="186" t="s">
        <v>23</v>
      </c>
    </row>
    <row r="5" spans="1:18" x14ac:dyDescent="0.35">
      <c r="A5" s="164">
        <v>1.1000000000000001</v>
      </c>
      <c r="B5" s="165" t="s">
        <v>230</v>
      </c>
      <c r="C5" s="165" t="s">
        <v>231</v>
      </c>
      <c r="D5" s="171" t="s">
        <v>340</v>
      </c>
      <c r="E5" s="169"/>
      <c r="F5" s="201" t="s">
        <v>294</v>
      </c>
      <c r="G5" s="201" t="s">
        <v>44</v>
      </c>
      <c r="H5" s="201" t="s">
        <v>31</v>
      </c>
      <c r="I5" s="171" t="s">
        <v>32</v>
      </c>
      <c r="J5" s="200" t="s">
        <v>25</v>
      </c>
      <c r="K5" s="171" t="s">
        <v>33</v>
      </c>
      <c r="L5" s="170" t="s">
        <v>235</v>
      </c>
      <c r="M5" s="171" t="s">
        <v>340</v>
      </c>
      <c r="N5" s="188" t="s">
        <v>294</v>
      </c>
      <c r="O5" s="173" t="s">
        <v>44</v>
      </c>
      <c r="P5" s="169"/>
      <c r="Q5" s="169"/>
      <c r="R5" s="169" t="s">
        <v>296</v>
      </c>
    </row>
    <row r="6" spans="1:18" ht="29" x14ac:dyDescent="0.35">
      <c r="A6" s="164">
        <v>1.1000000000000001</v>
      </c>
      <c r="B6" s="165" t="s">
        <v>230</v>
      </c>
      <c r="C6" s="165" t="s">
        <v>231</v>
      </c>
      <c r="D6" s="171" t="s">
        <v>340</v>
      </c>
      <c r="E6" s="171" t="s">
        <v>341</v>
      </c>
      <c r="F6" s="172" t="s">
        <v>342</v>
      </c>
      <c r="G6" s="173" t="s">
        <v>44</v>
      </c>
      <c r="H6" s="173" t="s">
        <v>222</v>
      </c>
      <c r="I6" s="171" t="s">
        <v>32</v>
      </c>
      <c r="J6" s="200" t="s">
        <v>25</v>
      </c>
      <c r="K6" s="171" t="s">
        <v>33</v>
      </c>
      <c r="L6" s="170" t="s">
        <v>235</v>
      </c>
      <c r="M6" s="171" t="s">
        <v>340</v>
      </c>
      <c r="N6" s="188" t="str">
        <f>_xlfn.LET(_xlpm.x,CLEAN(SUBSTITUTE(E6,CHAR(160)," ")),_xlpm.y,SUBSTITUTE(SUBSTITUTE(SUBSTITUTE(SUBSTITUTE(SUBSTITUTE(SUBSTITUTE(SUBSTITUTE(_xlpm.x,"("," "),")"," "),"/"," "),"-"," "),"."," "),","," "),":"," "),_xlpm.z,TRIM(_xlpm.y),IF(LEN(_xlpm.z)=0,"(blank)",LOWER(SUBSTITUTE(_xlpm.z," ","_"))))</f>
        <v>employee_number</v>
      </c>
      <c r="O6" s="173" t="s">
        <v>44</v>
      </c>
      <c r="P6" s="172"/>
      <c r="Q6" s="173"/>
      <c r="R6" s="169" t="s">
        <v>296</v>
      </c>
    </row>
  </sheetData>
  <mergeCells count="3">
    <mergeCell ref="A1:H2"/>
    <mergeCell ref="I1:R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Control_Sheet</vt:lpstr>
      <vt:lpstr>Metrics</vt:lpstr>
      <vt:lpstr>Risk_Register</vt:lpstr>
      <vt:lpstr>control_standard</vt:lpstr>
      <vt:lpstr>change_request</vt:lpstr>
      <vt:lpstr>incidents</vt:lpstr>
      <vt:lpstr>TASK_CI</vt:lpstr>
      <vt:lpstr>METRIC_INSTANCE</vt:lpstr>
      <vt:lpstr>SYS_USER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Habibur Rahaman</dc:creator>
  <cp:lastModifiedBy>Habibur Rahaman</cp:lastModifiedBy>
  <dcterms:created xsi:type="dcterms:W3CDTF">2026-04-29T16:53:07Z</dcterms:created>
  <dcterms:modified xsi:type="dcterms:W3CDTF">2026-04-30T14:52:51Z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2026-04-29T16:59:25Z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4aa658f5-3604-4a83-a4dd-604f43d88ae5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